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FDA9A64B-DE22-47F4-92FB-2D610FA33840}" xr6:coauthVersionLast="47" xr6:coauthVersionMax="47" xr10:uidLastSave="{00000000-0000-0000-0000-000000000000}"/>
  <bookViews>
    <workbookView xWindow="-120" yWindow="-120" windowWidth="29040" windowHeight="15720" activeTab="1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0" i="3" l="1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" i="3"/>
</calcChain>
</file>

<file path=xl/sharedStrings.xml><?xml version="1.0" encoding="utf-8"?>
<sst xmlns="http://schemas.openxmlformats.org/spreadsheetml/2006/main" count="15289" uniqueCount="1631">
  <si>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</si>
  <si>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</si>
  <si>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</si>
  <si>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</si>
  <si>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</si>
  <si>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</si>
  <si>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</si>
  <si>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</si>
  <si>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</si>
  <si>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</si>
  <si>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</si>
  <si>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</si>
  <si>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</si>
  <si>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</si>
  <si>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</si>
  <si>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</si>
  <si>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</si>
  <si>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</si>
  <si>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</si>
  <si>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</si>
  <si>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</si>
  <si>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</si>
  <si>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</si>
  <si>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</si>
  <si>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</si>
  <si>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</si>
  <si>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</si>
  <si>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</si>
  <si>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</si>
  <si>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</si>
  <si>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</si>
  <si>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</si>
  <si>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</si>
  <si>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</si>
  <si>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</si>
  <si>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</si>
  <si>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</si>
  <si>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</si>
  <si>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</si>
  <si>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</si>
  <si>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</si>
  <si>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</si>
  <si>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</si>
  <si>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</si>
  <si>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</si>
  <si>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</si>
  <si>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</si>
  <si>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</si>
  <si>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</si>
  <si>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</si>
  <si>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</si>
  <si>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</si>
  <si>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</si>
  <si>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</si>
  <si>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</si>
  <si>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</si>
  <si>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</si>
  <si>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</si>
  <si>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</si>
  <si>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</si>
  <si>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</si>
  <si>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</si>
  <si>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</si>
  <si>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</si>
  <si>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</si>
  <si>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</si>
  <si>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</si>
  <si>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</si>
  <si>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</si>
  <si>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</si>
  <si>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</si>
  <si>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</si>
  <si>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</si>
  <si>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 xml:space="preserve">Location 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</si>
  <si>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</si>
  <si>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</si>
  <si>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</si>
  <si>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</si>
  <si>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</si>
  <si>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</si>
  <si>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</si>
  <si>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</si>
  <si>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</si>
  <si>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</si>
  <si>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</si>
  <si>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</si>
  <si>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</si>
  <si>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</si>
  <si>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</si>
  <si>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</si>
  <si>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</si>
  <si>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</si>
  <si>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</si>
  <si>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</si>
  <si>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</si>
  <si>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</si>
  <si>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</si>
  <si>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</si>
  <si>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</si>
  <si>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</si>
  <si>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</si>
  <si>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</si>
  <si>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</si>
  <si>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</si>
  <si>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</si>
  <si>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</si>
  <si>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</si>
  <si>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</si>
  <si>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</si>
  <si>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</si>
  <si>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</si>
  <si>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</si>
  <si>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</si>
  <si>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</si>
  <si>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</si>
  <si>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</si>
  <si>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</si>
  <si>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</si>
  <si>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</si>
  <si>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</si>
  <si>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</si>
  <si>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</si>
  <si>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</si>
  <si>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</si>
  <si>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</si>
  <si>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</si>
  <si>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</si>
  <si>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</si>
  <si>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</si>
  <si>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</si>
  <si>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</si>
  <si>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</si>
  <si>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</si>
  <si>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</si>
  <si>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</si>
  <si>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</si>
  <si>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</si>
  <si>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</si>
  <si>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</si>
  <si>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</si>
  <si>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</si>
  <si>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</si>
  <si>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</si>
  <si>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</si>
  <si>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</si>
  <si>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</si>
  <si>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</si>
  <si>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</si>
  <si>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</si>
  <si>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</si>
  <si>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</si>
  <si>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</si>
  <si>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</si>
  <si>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</si>
  <si>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AYALA, CARLOS EUGENIO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</si>
  <si>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</si>
  <si>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</si>
  <si>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</si>
  <si>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</si>
  <si>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</si>
  <si>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</si>
  <si>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</si>
  <si>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</si>
  <si>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</si>
  <si>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</si>
  <si>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</si>
  <si>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</si>
  <si>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</si>
  <si>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</si>
  <si>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</si>
  <si>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</si>
  <si>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</si>
  <si>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</si>
  <si>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</si>
  <si>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</si>
  <si>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</si>
  <si>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</si>
  <si>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</si>
  <si>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</si>
  <si>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</si>
  <si>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</si>
  <si>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</si>
  <si>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</si>
  <si>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</si>
  <si>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</si>
  <si>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</si>
  <si>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</si>
  <si>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</si>
  <si>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</si>
  <si>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</si>
  <si>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</si>
  <si>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</si>
  <si>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</si>
  <si>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</si>
  <si>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</si>
  <si>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</si>
  <si>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</si>
  <si>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</si>
  <si>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</si>
  <si>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</si>
  <si>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</si>
  <si>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</si>
  <si>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</si>
  <si>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</si>
  <si>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</si>
  <si>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</si>
  <si>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</si>
  <si>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</si>
  <si>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</si>
  <si>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</si>
  <si>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</si>
  <si>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</si>
  <si>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</si>
  <si>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</si>
  <si>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</si>
  <si>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</si>
  <si>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</si>
  <si>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</si>
  <si>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</si>
  <si>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</si>
  <si>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</si>
  <si>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</si>
  <si>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</si>
  <si>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</si>
  <si>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</si>
  <si>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</si>
  <si>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</si>
  <si>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</si>
  <si>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</si>
  <si>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</si>
  <si>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</si>
  <si>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</si>
  <si>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</si>
  <si>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</si>
  <si>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</si>
  <si>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</si>
  <si>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</si>
  <si>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</si>
  <si>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</si>
  <si>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</si>
  <si>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</si>
  <si>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</si>
  <si>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</si>
  <si>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</si>
  <si>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</si>
  <si>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</si>
  <si>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</si>
  <si>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</si>
  <si>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</si>
  <si>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</si>
  <si>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</si>
  <si>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</si>
  <si>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</si>
  <si>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</si>
  <si>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</si>
  <si>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</si>
  <si>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</si>
  <si>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</si>
  <si>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</si>
  <si>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</si>
  <si>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</si>
  <si>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</si>
  <si>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</si>
  <si>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</si>
  <si>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</si>
  <si>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</si>
  <si>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</si>
  <si>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</si>
  <si>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</si>
  <si>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</si>
  <si>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</si>
  <si>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</si>
  <si>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</si>
  <si>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</si>
  <si>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</si>
  <si>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</si>
  <si>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</si>
  <si>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</si>
  <si>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</si>
  <si>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</si>
  <si>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</si>
  <si>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</si>
  <si>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</si>
  <si>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</si>
  <si>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</si>
  <si>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</si>
  <si>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</si>
  <si>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</si>
  <si>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</si>
  <si>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</si>
  <si>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</si>
  <si>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</si>
  <si>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</si>
  <si>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</si>
  <si>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</si>
  <si>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</si>
  <si>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</si>
  <si>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</si>
  <si>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</si>
  <si>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</si>
  <si>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</si>
  <si>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</si>
  <si>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</si>
  <si>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</si>
  <si>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</si>
  <si>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</si>
  <si>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</si>
  <si>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</si>
  <si>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</si>
  <si>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</si>
  <si>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</si>
  <si>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</si>
  <si>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</si>
  <si>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</si>
  <si>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</si>
  <si>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</si>
  <si>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</si>
  <si>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</si>
  <si>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</si>
  <si>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</si>
  <si>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</si>
  <si>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</si>
  <si>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</si>
  <si>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</si>
  <si>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</si>
  <si>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</si>
  <si>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</si>
  <si>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</si>
  <si>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</si>
  <si>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</si>
  <si>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</si>
  <si>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</si>
  <si>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</si>
  <si>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</si>
  <si>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</si>
  <si>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</si>
  <si>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</si>
  <si>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</si>
  <si>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</si>
  <si>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</si>
  <si>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</si>
  <si>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</si>
  <si>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</si>
  <si>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</si>
  <si>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</si>
  <si>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</si>
  <si>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</si>
  <si>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</si>
  <si>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</si>
  <si>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</si>
  <si>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</si>
  <si>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</si>
  <si>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</si>
  <si>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</si>
  <si>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</si>
  <si>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</si>
  <si>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</si>
  <si>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</si>
  <si>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</si>
  <si>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</si>
  <si>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</si>
  <si>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</si>
  <si>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</si>
  <si>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</si>
  <si>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</si>
  <si>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</si>
  <si>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</si>
  <si>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</si>
  <si>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</si>
  <si>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</si>
  <si>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</si>
  <si>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</si>
  <si>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</si>
  <si>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</si>
  <si>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</si>
  <si>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</si>
  <si>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</si>
  <si>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</si>
  <si>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</si>
  <si>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</si>
  <si>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</si>
  <si>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</si>
  <si>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</si>
  <si>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</si>
  <si>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</si>
  <si>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</si>
  <si>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</si>
  <si>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</si>
  <si>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</si>
  <si>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</si>
  <si>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</si>
  <si>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</si>
  <si>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</si>
  <si>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</si>
  <si>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</si>
  <si>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</si>
  <si>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</si>
  <si>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</si>
  <si>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</si>
  <si>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</si>
  <si>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</si>
  <si>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</si>
  <si>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</si>
  <si>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</si>
  <si>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</si>
  <si>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</si>
  <si>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</si>
  <si>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</si>
  <si>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</si>
  <si>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</si>
  <si>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CUELLAR, LILIA KARINA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</si>
  <si>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</si>
  <si>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</si>
  <si>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</si>
  <si>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</si>
  <si>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</si>
  <si>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</si>
  <si>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</si>
  <si>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</si>
  <si>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</si>
  <si>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</si>
  <si>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</si>
  <si>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</si>
  <si>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</si>
  <si>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</si>
  <si>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</si>
  <si>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</si>
  <si>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</si>
  <si>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</si>
  <si>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</si>
  <si>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</si>
  <si>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</si>
  <si>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</si>
  <si>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</si>
  <si>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</si>
  <si>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</si>
  <si>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</si>
  <si>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</si>
  <si>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</si>
  <si>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</si>
  <si>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</si>
  <si>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</si>
  <si>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</si>
  <si>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</si>
  <si>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</si>
  <si>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</si>
  <si>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</si>
  <si>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</si>
  <si>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</si>
  <si>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</si>
  <si>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</si>
  <si>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</si>
  <si>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</si>
  <si>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</si>
  <si>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</si>
  <si>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</si>
  <si>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</si>
  <si>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</si>
  <si>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</si>
  <si>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</si>
  <si>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</si>
  <si>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</si>
  <si>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</si>
  <si>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</si>
  <si>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</si>
  <si>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</si>
  <si>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</si>
  <si>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</si>
  <si>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</si>
  <si>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</si>
  <si>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</si>
  <si>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</si>
  <si>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</si>
  <si>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</si>
  <si>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</si>
  <si>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</si>
  <si>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</si>
  <si>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FAVELA CABALLERO, BRENDA CECILIA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</si>
  <si>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</si>
  <si>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</si>
  <si>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</si>
  <si>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</si>
  <si>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</si>
  <si>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</si>
  <si>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</si>
  <si>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</si>
  <si>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</si>
  <si>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</si>
  <si>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</si>
  <si>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</si>
  <si>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</si>
  <si>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</si>
  <si>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</si>
  <si>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</si>
  <si>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</si>
  <si>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</si>
  <si>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</si>
  <si>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</si>
  <si>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</si>
  <si>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</si>
  <si>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</si>
  <si>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</si>
  <si>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</si>
  <si>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</si>
  <si>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</si>
  <si>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</si>
  <si>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</si>
  <si>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</si>
  <si>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</si>
  <si>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</si>
  <si>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</si>
  <si>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</si>
  <si>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</si>
  <si>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</si>
  <si>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</si>
  <si>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</si>
  <si>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</si>
  <si>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</si>
  <si>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</si>
  <si>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</si>
  <si>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</si>
  <si>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</si>
  <si>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</si>
  <si>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</si>
  <si>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</si>
  <si>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</si>
  <si>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</si>
  <si>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</si>
  <si>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</si>
  <si>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</si>
  <si>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</si>
  <si>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</si>
  <si>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</si>
  <si>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</si>
  <si>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</si>
  <si>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</si>
  <si>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</si>
  <si>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</si>
  <si>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</si>
  <si>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</si>
  <si>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</si>
  <si>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</si>
  <si>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</si>
  <si>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</si>
  <si>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</si>
  <si>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</si>
  <si>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</si>
  <si>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</si>
  <si>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</si>
  <si>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</si>
  <si>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</si>
  <si>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</si>
  <si>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</si>
  <si>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</si>
  <si>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</si>
  <si>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</si>
  <si>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</si>
  <si>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</si>
  <si>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</si>
  <si>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</si>
  <si>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</si>
  <si>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</si>
  <si>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</si>
  <si>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</si>
  <si>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</si>
  <si>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</si>
  <si>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</si>
  <si>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</si>
  <si>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</si>
  <si>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</si>
  <si>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</si>
  <si>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</si>
  <si>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</si>
  <si>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</si>
  <si>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</si>
  <si>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</si>
  <si>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</si>
  <si>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</si>
  <si>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</si>
  <si>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</si>
  <si>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</si>
  <si>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</si>
  <si>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</si>
  <si>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</si>
  <si>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</si>
  <si>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</si>
  <si>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</si>
  <si>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</si>
  <si>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</si>
  <si>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</si>
  <si>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</si>
  <si>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</si>
  <si>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</si>
  <si>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</si>
  <si>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</si>
  <si>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</si>
  <si>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</si>
  <si>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</si>
  <si>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</si>
  <si>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</si>
  <si>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</si>
  <si>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</si>
  <si>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</si>
  <si>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</si>
  <si>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</si>
  <si>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</si>
  <si>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</si>
  <si>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</si>
  <si>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</si>
  <si>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</si>
  <si>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</si>
  <si>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</si>
  <si>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</si>
  <si>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</si>
  <si>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</si>
  <si>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</si>
  <si>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</si>
  <si>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</si>
  <si>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</si>
  <si>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</si>
  <si>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</si>
  <si>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</si>
  <si>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</si>
  <si>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</si>
  <si>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</si>
  <si>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</si>
  <si>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</si>
  <si>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</si>
  <si>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</si>
  <si>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</si>
  <si>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</si>
  <si>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</si>
  <si>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</si>
  <si>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</si>
  <si>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</si>
  <si>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</si>
  <si>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</si>
  <si>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</si>
  <si>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</si>
  <si>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</si>
  <si>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</si>
  <si>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</si>
  <si>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</si>
  <si>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</si>
  <si>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</si>
  <si>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</si>
  <si>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</si>
  <si>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</si>
  <si>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</si>
  <si>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</si>
  <si>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</si>
  <si>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</si>
  <si>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</si>
  <si>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</si>
  <si>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</si>
  <si>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</si>
  <si>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</si>
  <si>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</si>
  <si>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</si>
  <si>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</si>
  <si>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</si>
  <si>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</si>
  <si>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</si>
  <si>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</si>
  <si>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</si>
  <si>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</si>
  <si>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</si>
  <si>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</si>
  <si>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</si>
  <si>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</si>
  <si>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</si>
  <si>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</si>
  <si>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</si>
  <si>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</si>
  <si>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</si>
  <si>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</si>
  <si>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</si>
  <si>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</si>
  <si>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</si>
  <si>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</si>
  <si>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</si>
  <si>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</si>
  <si>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</si>
  <si>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</si>
  <si>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</si>
  <si>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</si>
  <si>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</si>
  <si>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</si>
  <si>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</si>
  <si>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</si>
  <si>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</si>
  <si>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</si>
  <si>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</si>
  <si>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</si>
  <si>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</si>
  <si>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</si>
  <si>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</si>
  <si>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</si>
  <si>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</si>
  <si>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</si>
  <si>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</si>
  <si>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</si>
  <si>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</si>
  <si>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</si>
  <si>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</si>
  <si>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</si>
  <si>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</si>
  <si>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</si>
  <si>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</si>
  <si>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</si>
  <si>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</si>
  <si>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</si>
  <si>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</si>
  <si>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</si>
  <si>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</si>
  <si>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</si>
  <si>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</si>
  <si>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</si>
  <si>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</si>
  <si>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</si>
  <si>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</si>
  <si>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</si>
  <si>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</si>
  <si>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</si>
  <si>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</si>
  <si>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</si>
  <si>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</si>
  <si>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</si>
  <si>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</si>
  <si>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</si>
  <si>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</si>
  <si>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</si>
  <si>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</si>
  <si>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</si>
  <si>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</si>
  <si>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</si>
  <si>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</si>
  <si>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</si>
  <si>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</si>
  <si>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</si>
  <si>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</si>
  <si>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</si>
  <si>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</si>
  <si>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</si>
  <si>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</si>
  <si>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</si>
  <si>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</si>
  <si>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</si>
  <si>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</si>
  <si>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</si>
  <si>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</si>
  <si>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</si>
  <si>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</si>
  <si>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</si>
  <si>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</si>
  <si>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</si>
  <si>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</si>
  <si>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</si>
  <si>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</si>
  <si>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</si>
  <si>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</si>
  <si>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</si>
  <si>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</si>
  <si>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</si>
  <si>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</si>
  <si>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</si>
  <si>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</si>
  <si>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</si>
  <si>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</si>
  <si>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</si>
  <si>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</si>
  <si>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</si>
  <si>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</si>
  <si>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</si>
  <si>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</si>
  <si>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</si>
  <si>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</si>
  <si>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</si>
  <si>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</si>
  <si>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</si>
  <si>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</si>
  <si>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</si>
  <si>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</si>
  <si>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</si>
  <si>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</si>
  <si>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</si>
  <si>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</si>
  <si>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</si>
  <si>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</si>
  <si>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</si>
  <si>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</si>
  <si>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</si>
  <si>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</si>
  <si>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</si>
  <si>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</si>
  <si>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</si>
  <si>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</si>
  <si>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</si>
  <si>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</si>
  <si>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</si>
  <si>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</si>
  <si>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</si>
  <si>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</si>
  <si>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</si>
  <si>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</si>
  <si>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</si>
  <si>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</si>
  <si>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</si>
  <si>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</si>
  <si>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</si>
  <si>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</si>
  <si>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</si>
  <si>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</si>
  <si>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</si>
  <si>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</si>
  <si>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</si>
  <si>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</si>
  <si>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</si>
  <si>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</si>
  <si>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</si>
  <si>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</si>
  <si>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</si>
  <si>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</si>
  <si>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</si>
  <si>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</si>
  <si>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</si>
  <si>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</si>
  <si>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</si>
  <si>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</si>
  <si>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</si>
  <si>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</si>
  <si>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</si>
  <si>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</si>
  <si>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</si>
  <si>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</si>
  <si>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</si>
  <si>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</si>
  <si>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</si>
  <si>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</si>
  <si>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</si>
  <si>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</si>
  <si>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</si>
  <si>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</si>
  <si>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</si>
  <si>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</si>
  <si>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</si>
  <si>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</si>
  <si>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</si>
  <si>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</si>
  <si>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</si>
  <si>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</si>
  <si>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</si>
  <si>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</si>
  <si>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</si>
  <si>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</si>
  <si>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</si>
  <si>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</si>
  <si>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</si>
  <si>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</si>
  <si>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</si>
  <si>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</si>
  <si>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</si>
  <si>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</si>
  <si>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</si>
  <si>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</si>
  <si>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</si>
  <si>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</si>
  <si>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</si>
  <si>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</si>
  <si>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</si>
  <si>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</si>
  <si>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</si>
  <si>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</si>
  <si>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</si>
  <si>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</si>
  <si>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</si>
  <si>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</si>
  <si>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</si>
  <si>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</si>
  <si>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</si>
  <si>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</si>
  <si>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</si>
  <si>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</si>
  <si>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</si>
  <si>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</si>
  <si>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</si>
  <si>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</si>
  <si>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</si>
  <si>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</si>
  <si>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</si>
  <si>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</si>
  <si>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</si>
  <si>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</si>
  <si>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</si>
  <si>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</si>
  <si>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</si>
  <si>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</si>
  <si>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</si>
  <si>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</si>
  <si>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</si>
  <si>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</si>
  <si>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</si>
  <si>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</si>
  <si>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</si>
  <si>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</si>
  <si>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</si>
  <si>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</si>
  <si>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</si>
  <si>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</si>
  <si>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</si>
  <si>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</si>
  <si>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</si>
  <si>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</si>
  <si>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</si>
  <si>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</si>
  <si>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</si>
  <si>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</si>
  <si>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</si>
  <si>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</si>
  <si>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</si>
  <si>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</si>
  <si>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</si>
  <si>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</si>
  <si>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</si>
  <si>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</si>
  <si>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</si>
  <si>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</si>
  <si>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</si>
  <si>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</si>
  <si>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</si>
  <si>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</si>
  <si>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</si>
  <si>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</si>
  <si>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</si>
  <si>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</si>
  <si>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</si>
  <si>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</si>
  <si>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</si>
  <si>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</si>
  <si>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</si>
  <si>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</si>
  <si>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</si>
  <si>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</si>
  <si>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</si>
  <si>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</si>
  <si>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</si>
  <si>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</si>
  <si>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</si>
  <si>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</si>
  <si>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</si>
  <si>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</si>
  <si>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</si>
  <si>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</si>
  <si>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</si>
  <si>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</si>
  <si>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</si>
  <si>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</si>
  <si>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</si>
  <si>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</si>
  <si>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</si>
  <si>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</si>
  <si>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</si>
  <si>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</si>
  <si>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</si>
  <si>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</si>
  <si>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</si>
  <si>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</si>
  <si>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</si>
  <si>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</si>
  <si>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</si>
  <si>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</si>
  <si>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</si>
  <si>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</si>
  <si>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</si>
  <si>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</si>
  <si>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</si>
  <si>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</si>
  <si>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</si>
  <si>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</si>
  <si>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</si>
  <si>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</si>
  <si>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</si>
  <si>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</si>
  <si>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</si>
  <si>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</si>
  <si>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</si>
  <si>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</si>
  <si>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</si>
  <si>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</si>
  <si>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</si>
  <si>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</si>
  <si>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</si>
  <si>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</si>
  <si>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</si>
  <si>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</si>
  <si>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</si>
  <si>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</si>
  <si>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</si>
  <si>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</si>
  <si>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</si>
  <si>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</si>
  <si>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</si>
  <si>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</si>
  <si>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</si>
  <si>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</si>
  <si>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</si>
  <si>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</si>
  <si>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</si>
  <si>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</si>
  <si>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</si>
  <si>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</si>
  <si>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</si>
  <si>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</si>
  <si>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</si>
  <si>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</si>
  <si>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</si>
  <si>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</si>
  <si>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</si>
  <si>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</si>
  <si>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</si>
  <si>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</si>
  <si>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</si>
  <si>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</si>
  <si>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</si>
  <si>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</si>
  <si>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</si>
  <si>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</si>
  <si>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</si>
  <si>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</si>
  <si>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</si>
  <si>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</si>
  <si>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</si>
  <si>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</si>
  <si>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</si>
  <si>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</si>
  <si>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</si>
  <si>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</si>
  <si>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</si>
  <si>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</si>
  <si>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</si>
  <si>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</si>
  <si>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</si>
  <si>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</si>
  <si>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</si>
  <si>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</si>
  <si>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</si>
  <si>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</si>
  <si>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</si>
  <si>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</si>
  <si>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</si>
  <si>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</si>
  <si>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</si>
  <si>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</si>
  <si>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</si>
  <si>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</si>
  <si>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</si>
  <si>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</si>
  <si>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</si>
  <si>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</si>
  <si>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</si>
  <si>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</si>
  <si>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</si>
  <si>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</si>
  <si>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</si>
  <si>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</si>
  <si>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</si>
  <si>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</si>
  <si>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</si>
  <si>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</si>
  <si>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</si>
  <si>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</si>
  <si>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</si>
  <si>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</si>
  <si>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</si>
  <si>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</si>
  <si>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</si>
  <si>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</si>
  <si>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</si>
  <si>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</si>
  <si>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</si>
  <si>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</si>
  <si>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</si>
  <si>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</si>
  <si>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</si>
  <si>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</si>
  <si>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</si>
  <si>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</si>
  <si>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</si>
  <si>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</si>
  <si>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</si>
  <si>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</si>
  <si>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</si>
  <si>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</si>
  <si>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</si>
  <si>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</si>
  <si>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</si>
  <si>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</si>
  <si>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</si>
  <si>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</si>
  <si>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</si>
  <si>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</si>
  <si>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</si>
  <si>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</si>
  <si>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</si>
  <si>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</si>
  <si>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</si>
  <si>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</si>
  <si>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</si>
  <si>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</si>
  <si>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</si>
  <si>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</si>
  <si>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</si>
  <si>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</si>
  <si>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</si>
  <si>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</si>
  <si>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</si>
  <si>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</si>
  <si>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</si>
  <si>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</si>
  <si>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</si>
  <si>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</si>
  <si>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</si>
  <si>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</si>
  <si>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</si>
  <si>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</si>
  <si>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</si>
  <si>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</si>
  <si>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</si>
  <si>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</si>
  <si>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</si>
  <si>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</si>
  <si>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</si>
  <si>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</si>
  <si>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</si>
  <si>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</si>
  <si>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</si>
  <si>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</si>
  <si>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</si>
  <si>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</si>
  <si>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</si>
  <si>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</si>
  <si>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</si>
  <si>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</si>
  <si>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</si>
  <si>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</si>
  <si>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</si>
  <si>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</si>
  <si>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</si>
  <si>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</si>
  <si>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</si>
  <si>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</si>
  <si>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</si>
  <si>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</si>
  <si>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</si>
  <si>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</si>
  <si>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</si>
  <si>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</si>
  <si>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</si>
  <si>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</si>
  <si>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</si>
  <si>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</si>
  <si>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</si>
  <si>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</si>
  <si>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</si>
  <si>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</si>
  <si>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</si>
  <si>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</si>
  <si>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</si>
  <si>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</si>
  <si>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</si>
  <si>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</si>
  <si>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</si>
  <si>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</si>
  <si>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</si>
  <si>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</si>
  <si>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</si>
  <si>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</si>
  <si>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</si>
  <si>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</si>
  <si>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</si>
  <si>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</si>
  <si>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</si>
  <si>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</si>
  <si>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</si>
  <si>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</si>
  <si>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</si>
  <si>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</si>
  <si>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</si>
  <si>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</si>
  <si>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</si>
  <si>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</si>
  <si>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</si>
  <si>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</si>
  <si>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</si>
  <si>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</si>
  <si>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</si>
  <si>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</si>
  <si>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</si>
  <si>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</si>
  <si>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</si>
  <si>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</si>
  <si>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</si>
  <si>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</si>
  <si>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</si>
  <si>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</si>
  <si>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</si>
  <si>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</si>
  <si>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</si>
  <si>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</si>
  <si>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</si>
  <si>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</si>
  <si>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</si>
  <si>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</si>
  <si>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</si>
  <si>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</si>
  <si>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</si>
  <si>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</si>
  <si>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</si>
  <si>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</si>
  <si>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</si>
  <si>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</si>
  <si>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</si>
  <si>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</si>
  <si>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</si>
  <si>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</si>
  <si>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</si>
  <si>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</si>
  <si>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</si>
  <si>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</si>
  <si>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</si>
  <si>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</si>
  <si>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</si>
  <si>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</si>
  <si>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</si>
  <si>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</si>
  <si>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</si>
  <si>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</si>
  <si>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</si>
  <si>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</si>
  <si>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</si>
  <si>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</si>
  <si>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</si>
  <si>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</si>
  <si>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</si>
  <si>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</si>
  <si>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</si>
  <si>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</si>
  <si>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</si>
  <si>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</si>
  <si>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</si>
  <si>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</si>
  <si>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</si>
  <si>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</si>
  <si>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</si>
  <si>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</si>
  <si>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</si>
  <si>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</si>
  <si>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</si>
  <si>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</si>
  <si>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</si>
  <si>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</si>
  <si>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</si>
  <si>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</si>
  <si>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</si>
  <si>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</si>
  <si>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</si>
  <si>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</si>
  <si>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</si>
  <si>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</si>
  <si>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</si>
  <si>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</si>
  <si>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</si>
  <si>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</si>
  <si>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</si>
  <si>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</si>
  <si>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</si>
  <si>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</si>
  <si>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</si>
  <si>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</si>
  <si>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</si>
  <si>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</si>
  <si>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</si>
  <si>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</si>
  <si>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</si>
  <si>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</si>
  <si>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</si>
  <si>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</si>
  <si>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</si>
  <si>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</si>
  <si>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</si>
  <si>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</si>
  <si>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</si>
  <si>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</si>
  <si>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</si>
  <si>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</si>
  <si>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</si>
  <si>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</si>
  <si>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</si>
  <si>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</si>
  <si>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</si>
  <si>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</si>
  <si>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</si>
  <si>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</si>
  <si>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</si>
  <si>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</si>
  <si>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</si>
  <si>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</si>
  <si>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</si>
  <si>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</si>
  <si>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</si>
  <si>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</si>
  <si>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</si>
  <si>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</si>
  <si>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</si>
  <si>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</si>
  <si>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</si>
  <si>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</si>
  <si>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</si>
  <si>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</si>
  <si>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</si>
  <si>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</si>
  <si>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</si>
  <si>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</si>
  <si>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</si>
  <si>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</si>
  <si>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</si>
  <si>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</si>
  <si>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</si>
  <si>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</si>
  <si>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</si>
  <si>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</si>
  <si>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</si>
  <si>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</si>
  <si>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</si>
  <si>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</si>
  <si>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</si>
  <si>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</si>
  <si>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</si>
  <si>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</si>
  <si>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</si>
  <si>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</si>
  <si>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</si>
  <si>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</si>
  <si>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</si>
  <si>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</si>
  <si>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</si>
  <si>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</si>
  <si>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</si>
  <si>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</si>
  <si>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</si>
  <si>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</si>
  <si>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</si>
  <si>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</si>
  <si>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</si>
  <si>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</si>
  <si>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</si>
  <si>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</si>
  <si>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</si>
  <si>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</si>
  <si>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</si>
  <si>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</si>
  <si>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</si>
  <si>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</si>
  <si>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</si>
  <si>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</si>
  <si>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</si>
  <si>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</si>
  <si>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</si>
  <si>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</si>
  <si>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</si>
  <si>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</si>
  <si>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</si>
  <si>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</si>
  <si>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</si>
  <si>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</si>
  <si>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</si>
  <si>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</si>
  <si>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</si>
  <si>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</si>
  <si>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</si>
  <si>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</si>
  <si>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</si>
  <si>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</si>
  <si>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</si>
  <si>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</si>
  <si>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</si>
  <si>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</si>
  <si>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</si>
  <si>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</si>
  <si>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</si>
  <si>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</si>
  <si>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</si>
  <si>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</si>
  <si>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</si>
  <si>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</si>
  <si>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</si>
  <si>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</si>
  <si>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</si>
  <si>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</si>
  <si>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</si>
  <si>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</si>
  <si>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</si>
  <si>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</si>
  <si>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</si>
  <si>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</si>
  <si>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</si>
  <si>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</si>
  <si>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</si>
  <si>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</si>
  <si>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</si>
  <si>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</si>
  <si>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</si>
  <si>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</si>
  <si>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</si>
  <si>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</si>
  <si>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</si>
  <si>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</si>
  <si>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</si>
  <si>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</si>
  <si>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</si>
  <si>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</si>
  <si>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</si>
  <si>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</si>
  <si>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</si>
  <si>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</si>
  <si>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</si>
  <si>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</si>
  <si>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</si>
  <si>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</si>
  <si>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</si>
  <si>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</si>
  <si>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</si>
  <si>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</si>
  <si>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</si>
  <si>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</si>
  <si>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</si>
  <si>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</si>
  <si>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</si>
  <si>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</si>
  <si>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</si>
  <si>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</si>
  <si>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</si>
  <si>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</si>
  <si>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</si>
  <si>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</si>
  <si>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</si>
  <si>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</si>
  <si>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</si>
  <si>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</si>
  <si>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</si>
  <si>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</si>
  <si>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</si>
  <si>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</si>
  <si>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</si>
  <si>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</si>
  <si>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</si>
  <si>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</si>
  <si>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</si>
  <si>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</si>
  <si>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</si>
  <si>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</si>
  <si>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</si>
  <si>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</si>
  <si>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</si>
  <si>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</si>
  <si>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</si>
  <si>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</si>
  <si>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</si>
  <si>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</si>
  <si>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</si>
  <si>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</si>
  <si>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</si>
  <si>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</si>
  <si>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</si>
  <si>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</si>
  <si>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</si>
  <si>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</si>
  <si>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</si>
  <si>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</si>
  <si>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</si>
  <si>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</si>
  <si>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</si>
  <si>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</si>
  <si>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</si>
  <si>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</si>
  <si>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</si>
  <si>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</si>
  <si>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</si>
  <si>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</si>
  <si>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</si>
  <si>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</si>
  <si>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</si>
  <si>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</si>
  <si>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</si>
  <si>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</si>
  <si>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</si>
  <si>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</si>
  <si>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</si>
  <si>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</si>
  <si>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</si>
  <si>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</si>
  <si>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</si>
  <si>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</si>
  <si>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</si>
  <si>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</si>
  <si>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</si>
  <si>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</si>
  <si>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</si>
  <si>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</si>
  <si>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</si>
  <si>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</si>
  <si>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</si>
  <si>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</si>
  <si>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</si>
  <si>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</si>
  <si>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</si>
  <si>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</si>
  <si>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</si>
  <si>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</si>
  <si>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</si>
  <si>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</si>
  <si>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</si>
  <si>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</si>
  <si>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</si>
  <si>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</si>
  <si>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</si>
  <si>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</si>
  <si>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</si>
  <si>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</si>
  <si>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</si>
  <si>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</si>
  <si>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</si>
  <si>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</si>
  <si>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</si>
  <si>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</si>
  <si>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</si>
  <si>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</si>
  <si>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</si>
  <si>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</si>
  <si>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</si>
  <si>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</si>
  <si>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</si>
  <si>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</si>
  <si>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</si>
  <si>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</si>
  <si>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</si>
  <si>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</si>
  <si>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</si>
  <si>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</si>
  <si>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</si>
  <si>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</si>
  <si>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</si>
  <si>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</si>
  <si>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</si>
  <si>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</si>
  <si>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</si>
  <si>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</si>
  <si>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</si>
  <si>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</si>
  <si>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</si>
  <si>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</si>
  <si>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</si>
  <si>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</si>
  <si>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</si>
  <si>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</si>
  <si>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</si>
  <si>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</si>
  <si>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</si>
  <si>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</si>
  <si>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</si>
  <si>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</si>
  <si>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</si>
  <si>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</si>
  <si>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</si>
  <si>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</si>
  <si>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</si>
  <si>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</si>
  <si>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</si>
  <si>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</si>
  <si>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</si>
  <si>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</si>
  <si>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</si>
  <si>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</si>
  <si>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</si>
  <si>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</si>
  <si>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</si>
  <si>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</si>
  <si>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</si>
  <si>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</si>
  <si>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</si>
  <si>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</si>
  <si>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</si>
  <si>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</si>
  <si>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</si>
  <si>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</si>
  <si>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</si>
  <si>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</si>
  <si>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</si>
  <si>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</si>
  <si>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</si>
  <si>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</si>
  <si>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</si>
  <si>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</si>
  <si>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</si>
  <si>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</si>
  <si>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</si>
  <si>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</si>
  <si>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</si>
  <si>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</si>
  <si>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</si>
  <si>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</si>
  <si>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</si>
  <si>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</si>
  <si>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</si>
  <si>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</si>
  <si>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</si>
  <si>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</si>
  <si>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</si>
  <si>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</si>
  <si>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</si>
  <si>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</si>
  <si>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</si>
  <si>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</si>
  <si>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SVG</t>
  </si>
  <si>
    <t>Turno</t>
  </si>
  <si>
    <t>T2</t>
  </si>
  <si>
    <t>T1</t>
  </si>
  <si>
    <t>6AM 6PM</t>
  </si>
  <si>
    <t>6PM 6AM</t>
  </si>
  <si>
    <t>LAREDO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</si>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</sst>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9"/>
      <color theme="1"/>
      <name val="Arial Narrow"/>
      <family val="2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3" borderId="0" xfId="0" applyFont="1" applyFill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 Narrow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38" totalsRowShown="0" dataDxfId="16">
  <autoFilter ref="A1:G1538" xr:uid="{D2C8E0AA-CC08-447B-95CB-DF9A6B78DCD0}"/>
  <tableColumns count="7">
    <tableColumn id="1" xr3:uid="{49DB7D1B-425B-477E-AA6B-C08270277DEC}" name="Número" dataDxfId="15"/>
    <tableColumn id="2" xr3:uid="{F4C500C1-756E-4413-AA96-0E5BE11570A8}" name="Nombre" dataDxfId="14"/>
    <tableColumn id="3" xr3:uid="{1F0AE940-8ABE-4E76-A1EE-C2327BF6CCF8}" name="Activity" dataDxfId="13"/>
    <tableColumn id="4" xr3:uid="{358B2792-BA5F-45BA-A449-5E080ACB28A1}" name="Location" dataDxfId="12"/>
    <tableColumn id="5" xr3:uid="{F7ABA367-0EC0-4904-BBEA-876DB162234A}" name="Oracle Location" dataDxfId="11"/>
    <tableColumn id="6" xr3:uid="{E901B71B-5159-4610-A9DB-26E2A57D7214}" name="SVG_ID" dataDxfId="10"/>
    <tableColumn id="7" xr3:uid="{ABDC780E-B036-4E1E-9FF3-385544EECFDD}" name="Turn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F45687-70A2-4FEF-9007-6959D5BC20B5}" name="Table3" displayName="Table3" ref="A1:G1538" totalsRowShown="0" headerRowDxfId="8" dataDxfId="7">
  <autoFilter ref="A1:G1538" xr:uid="{8AF45687-70A2-4FEF-9007-6959D5BC20B5}"/>
  <tableColumns count="7">
    <tableColumn id="1" xr3:uid="{2B4D42FA-0964-4FBB-B6FA-2132D29E2568}" name="Número" dataDxfId="6"/>
    <tableColumn id="2" xr3:uid="{1FB0DD54-04A7-4BDB-A6C6-D45A720FAB15}" name="Nombre" dataDxfId="5"/>
    <tableColumn id="3" xr3:uid="{EFE0E899-8FEE-448F-B8A9-8EF4356C8B26}" name="Activity" dataDxfId="4"/>
    <tableColumn id="4" xr3:uid="{6E1085CF-A06D-4558-B722-28E84B5BE282}" name="Location " dataDxfId="3"/>
    <tableColumn id="5" xr3:uid="{DC303A82-7E47-4718-BA6C-71EC0A521B34}" name="Oracle Location" dataDxfId="2"/>
    <tableColumn id="6" xr3:uid="{011F9F61-74DE-4F69-9872-CAE732C39A16}" name="SVG" dataDxfId="1"/>
    <tableColumn id="11" xr3:uid="{3E440949-F825-4226-99B5-7681932ECAD6}" name="Column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38"/>
  <sheetViews>
    <sheetView workbookViewId="0">
      <selection activeCell="H10" sqref="H10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1612</v>
      </c>
      <c r="G1" t="s">
        <v>1624</v>
      </c>
    </row>
    <row r="2" spans="1:7" x14ac:dyDescent="0.25">
      <c r="A2" s="2">
        <v>20687</v>
      </c>
      <c r="B2" s="2" t="s">
        <v>3</v>
      </c>
      <c r="C2" s="2" t="s">
        <v>4</v>
      </c>
      <c r="D2" s="3" t="s">
        <v>8</v>
      </c>
      <c r="E2" s="3" t="s">
        <v>9</v>
      </c>
      <c r="F2" s="3" t="s">
        <v>64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">
        <v>31</v>
      </c>
      <c r="F3" s="3" t="s">
        <v>31</v>
      </c>
      <c r="G3" s="3" t="s">
        <v>1614</v>
      </c>
    </row>
    <row r="4" spans="1:7" x14ac:dyDescent="0.25">
      <c r="A4" s="2">
        <v>21142</v>
      </c>
      <c r="B4" s="2" t="s">
        <v>12</v>
      </c>
      <c r="C4" s="2" t="s">
        <v>4</v>
      </c>
      <c r="D4" s="3" t="s">
        <v>8</v>
      </c>
      <c r="E4" s="3" t="s">
        <v>9</v>
      </c>
      <c r="F4" s="3" t="s">
        <v>64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">
        <v>53</v>
      </c>
      <c r="F5" s="3" t="s">
        <v>53</v>
      </c>
      <c r="G5" s="3" t="s">
        <v>1614</v>
      </c>
    </row>
    <row r="6" spans="1:7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">
        <v>19</v>
      </c>
      <c r="F6" s="3" t="s">
        <v>18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">
        <v>31</v>
      </c>
      <c r="F7" s="3" t="s">
        <v>31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">
        <v>23</v>
      </c>
      <c r="F8" s="3" t="s">
        <v>65</v>
      </c>
      <c r="G8" s="3" t="s">
        <v>1614</v>
      </c>
    </row>
    <row r="9" spans="1:7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">
        <v>25</v>
      </c>
      <c r="F9" s="3" t="s">
        <v>66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">
        <v>53</v>
      </c>
      <c r="F10" s="3" t="s">
        <v>53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">
        <v>53</v>
      </c>
      <c r="F11" s="3" t="s">
        <v>53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">
        <v>31</v>
      </c>
      <c r="F12" s="3" t="s">
        <v>31</v>
      </c>
      <c r="G12" s="3">
        <v>0</v>
      </c>
    </row>
    <row r="13" spans="1:7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">
        <v>25</v>
      </c>
      <c r="F13" s="3" t="s">
        <v>66</v>
      </c>
      <c r="G13" s="3" t="s">
        <v>1613</v>
      </c>
    </row>
    <row r="14" spans="1:7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">
        <v>29</v>
      </c>
      <c r="F14" s="3" t="s">
        <v>17</v>
      </c>
      <c r="G14" s="3" t="s">
        <v>1617</v>
      </c>
    </row>
    <row r="15" spans="1:7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">
        <v>25</v>
      </c>
      <c r="F15" s="3" t="s">
        <v>66</v>
      </c>
      <c r="G15" s="3" t="s">
        <v>1613</v>
      </c>
    </row>
    <row r="16" spans="1:7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">
        <v>33</v>
      </c>
      <c r="F16" s="3">
        <v>0</v>
      </c>
      <c r="G16" s="3" t="s">
        <v>1617</v>
      </c>
    </row>
    <row r="17" spans="1:7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">
        <v>15</v>
      </c>
      <c r="F17" s="3" t="s">
        <v>14</v>
      </c>
      <c r="G17" s="3" t="s">
        <v>1617</v>
      </c>
    </row>
    <row r="18" spans="1:7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">
        <v>9</v>
      </c>
      <c r="F18" s="3" t="s">
        <v>64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">
        <v>53</v>
      </c>
      <c r="F19" s="3" t="s">
        <v>53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">
        <v>52</v>
      </c>
      <c r="F20" s="3" t="s">
        <v>51</v>
      </c>
      <c r="G20" s="3" t="s">
        <v>1616</v>
      </c>
    </row>
    <row r="21" spans="1:7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">
        <v>9</v>
      </c>
      <c r="F21" s="3" t="s">
        <v>64</v>
      </c>
      <c r="G21" s="3" t="s">
        <v>1617</v>
      </c>
    </row>
    <row r="22" spans="1:7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">
        <v>9</v>
      </c>
      <c r="F22" s="3" t="s">
        <v>64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">
        <v>15</v>
      </c>
      <c r="F23" s="3" t="s">
        <v>14</v>
      </c>
      <c r="G23" s="3" t="s">
        <v>1616</v>
      </c>
    </row>
    <row r="24" spans="1:7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">
        <v>9</v>
      </c>
      <c r="F24" s="3" t="s">
        <v>64</v>
      </c>
      <c r="G24" s="3" t="s">
        <v>1613</v>
      </c>
    </row>
    <row r="25" spans="1:7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">
        <v>38</v>
      </c>
      <c r="F25" s="3" t="s">
        <v>69</v>
      </c>
      <c r="G25" s="3" t="s">
        <v>1617</v>
      </c>
    </row>
    <row r="26" spans="1:7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">
        <v>21</v>
      </c>
      <c r="F26" s="3" t="s">
        <v>21</v>
      </c>
      <c r="G26" s="3" t="s">
        <v>1617</v>
      </c>
    </row>
    <row r="27" spans="1:7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">
        <v>15</v>
      </c>
      <c r="F27" s="3" t="s">
        <v>14</v>
      </c>
      <c r="G27" s="3" t="s">
        <v>1615</v>
      </c>
    </row>
    <row r="28" spans="1:7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">
        <v>29</v>
      </c>
      <c r="F28" s="3" t="s">
        <v>17</v>
      </c>
      <c r="G28" s="3" t="s">
        <v>1617</v>
      </c>
    </row>
    <row r="29" spans="1:7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">
        <v>33</v>
      </c>
      <c r="F29" s="3">
        <v>0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">
        <v>53</v>
      </c>
      <c r="F30" s="3" t="s">
        <v>53</v>
      </c>
      <c r="G30" s="3" t="s">
        <v>1616</v>
      </c>
    </row>
    <row r="31" spans="1:7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">
        <v>25</v>
      </c>
      <c r="F31" s="3" t="s">
        <v>66</v>
      </c>
      <c r="G31" s="3" t="s">
        <v>1617</v>
      </c>
    </row>
    <row r="32" spans="1:7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">
        <v>25</v>
      </c>
      <c r="F32" s="3" t="s">
        <v>66</v>
      </c>
      <c r="G32" s="3" t="s">
        <v>1617</v>
      </c>
    </row>
    <row r="33" spans="1:7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">
        <v>40</v>
      </c>
      <c r="F33" s="3" t="s">
        <v>39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">
        <v>11</v>
      </c>
      <c r="F34" s="3" t="s">
        <v>10</v>
      </c>
      <c r="G34" s="3" t="s">
        <v>1614</v>
      </c>
    </row>
    <row r="35" spans="1:7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">
        <v>25</v>
      </c>
      <c r="F35" s="3" t="s">
        <v>66</v>
      </c>
      <c r="G35" s="3" t="s">
        <v>1617</v>
      </c>
    </row>
    <row r="36" spans="1:7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">
        <v>15</v>
      </c>
      <c r="F36" s="3" t="s">
        <v>14</v>
      </c>
      <c r="G36" s="3" t="s">
        <v>1617</v>
      </c>
    </row>
    <row r="37" spans="1:7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">
        <v>15</v>
      </c>
      <c r="F37" s="3" t="s">
        <v>14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">
        <v>53</v>
      </c>
      <c r="F38" s="3" t="s">
        <v>53</v>
      </c>
      <c r="G38" s="3" t="s">
        <v>1616</v>
      </c>
    </row>
    <row r="39" spans="1:7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">
        <v>25</v>
      </c>
      <c r="F39" s="3" t="s">
        <v>66</v>
      </c>
      <c r="G39" s="3" t="s">
        <v>1617</v>
      </c>
    </row>
    <row r="40" spans="1:7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">
        <v>33</v>
      </c>
      <c r="F40" s="3">
        <v>0</v>
      </c>
      <c r="G40" s="3" t="s">
        <v>1617</v>
      </c>
    </row>
    <row r="41" spans="1:7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">
        <v>29</v>
      </c>
      <c r="F41" s="3" t="s">
        <v>17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">
        <v>23</v>
      </c>
      <c r="F42" s="3" t="s">
        <v>65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">
        <v>40</v>
      </c>
      <c r="F43" s="3" t="s">
        <v>39</v>
      </c>
      <c r="G43" s="3" t="s">
        <v>1614</v>
      </c>
    </row>
    <row r="44" spans="1:7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">
        <v>15</v>
      </c>
      <c r="F44" s="3" t="s">
        <v>14</v>
      </c>
      <c r="G44" s="3" t="s">
        <v>1615</v>
      </c>
    </row>
    <row r="45" spans="1:7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">
        <v>9</v>
      </c>
      <c r="F45" s="3" t="s">
        <v>64</v>
      </c>
      <c r="G45" s="3" t="s">
        <v>1617</v>
      </c>
    </row>
    <row r="46" spans="1:7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">
        <v>25</v>
      </c>
      <c r="F46" s="3" t="s">
        <v>66</v>
      </c>
      <c r="G46" s="3" t="s">
        <v>1613</v>
      </c>
    </row>
    <row r="47" spans="1:7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">
        <v>33</v>
      </c>
      <c r="F47" s="3">
        <v>0</v>
      </c>
      <c r="G47" s="3" t="s">
        <v>1617</v>
      </c>
    </row>
    <row r="48" spans="1:7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">
        <v>9</v>
      </c>
      <c r="F48" s="3" t="s">
        <v>64</v>
      </c>
      <c r="G48" s="3" t="s">
        <v>1617</v>
      </c>
    </row>
    <row r="49" spans="1:7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">
        <v>9</v>
      </c>
      <c r="F49" s="3" t="s">
        <v>64</v>
      </c>
      <c r="G49" s="3" t="s">
        <v>1615</v>
      </c>
    </row>
    <row r="50" spans="1:7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">
        <v>43</v>
      </c>
      <c r="F50" s="3" t="s">
        <v>70</v>
      </c>
      <c r="G50" s="3" t="s">
        <v>1617</v>
      </c>
    </row>
    <row r="51" spans="1:7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">
        <v>43</v>
      </c>
      <c r="F51" s="3" t="s">
        <v>70</v>
      </c>
      <c r="G51" s="3" t="s">
        <v>1617</v>
      </c>
    </row>
    <row r="52" spans="1:7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">
        <v>9</v>
      </c>
      <c r="F52" s="3" t="s">
        <v>64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">
        <v>31</v>
      </c>
      <c r="F53" s="3" t="s">
        <v>31</v>
      </c>
      <c r="G53" s="3">
        <v>0</v>
      </c>
    </row>
    <row r="54" spans="1:7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">
        <v>9</v>
      </c>
      <c r="F54" s="3" t="s">
        <v>64</v>
      </c>
      <c r="G54" s="3" t="s">
        <v>1613</v>
      </c>
    </row>
    <row r="55" spans="1:7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">
        <v>9</v>
      </c>
      <c r="F55" s="3" t="s">
        <v>64</v>
      </c>
      <c r="G55" s="3" t="s">
        <v>1617</v>
      </c>
    </row>
    <row r="56" spans="1:7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">
        <v>9</v>
      </c>
      <c r="F56" s="3" t="s">
        <v>64</v>
      </c>
      <c r="G56" s="3" t="s">
        <v>1615</v>
      </c>
    </row>
    <row r="57" spans="1:7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">
        <v>23</v>
      </c>
      <c r="F57" s="3" t="s">
        <v>65</v>
      </c>
      <c r="G57" s="3" t="s">
        <v>1613</v>
      </c>
    </row>
    <row r="58" spans="1:7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">
        <v>29</v>
      </c>
      <c r="F58" s="3" t="s">
        <v>17</v>
      </c>
      <c r="G58" s="3" t="s">
        <v>1617</v>
      </c>
    </row>
    <row r="59" spans="1:7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">
        <v>19</v>
      </c>
      <c r="F59" s="3" t="s">
        <v>18</v>
      </c>
      <c r="G59" s="3" t="s">
        <v>1615</v>
      </c>
    </row>
    <row r="60" spans="1:7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">
        <v>33</v>
      </c>
      <c r="F60" s="3">
        <v>0</v>
      </c>
      <c r="G60" s="3" t="s">
        <v>1617</v>
      </c>
    </row>
    <row r="61" spans="1:7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">
        <v>9</v>
      </c>
      <c r="F61" s="3" t="s">
        <v>64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">
        <v>15</v>
      </c>
      <c r="F62" s="3" t="s">
        <v>14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">
        <v>53</v>
      </c>
      <c r="F63" s="3" t="s">
        <v>53</v>
      </c>
      <c r="G63" s="3" t="s">
        <v>1614</v>
      </c>
    </row>
    <row r="64" spans="1:7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">
        <v>19</v>
      </c>
      <c r="F64" s="3" t="s">
        <v>18</v>
      </c>
      <c r="G64" s="3" t="s">
        <v>1615</v>
      </c>
    </row>
    <row r="65" spans="1:7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">
        <v>43</v>
      </c>
      <c r="F65" s="3" t="s">
        <v>70</v>
      </c>
      <c r="G65" s="3" t="s">
        <v>1615</v>
      </c>
    </row>
    <row r="66" spans="1:7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">
        <v>25</v>
      </c>
      <c r="F66" s="3" t="s">
        <v>66</v>
      </c>
      <c r="G66" s="3" t="s">
        <v>1617</v>
      </c>
    </row>
    <row r="67" spans="1:7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">
        <v>43</v>
      </c>
      <c r="F67" s="3" t="s">
        <v>70</v>
      </c>
      <c r="G67" s="3" t="s">
        <v>1615</v>
      </c>
    </row>
    <row r="68" spans="1:7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">
        <v>45</v>
      </c>
      <c r="F68" s="3" t="s">
        <v>71</v>
      </c>
      <c r="G68" s="3" t="s">
        <v>1617</v>
      </c>
    </row>
    <row r="69" spans="1:7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">
        <v>9</v>
      </c>
      <c r="F69" s="3" t="s">
        <v>64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">
        <v>53</v>
      </c>
      <c r="F70" s="3" t="s">
        <v>53</v>
      </c>
      <c r="G70" s="3">
        <v>0</v>
      </c>
    </row>
    <row r="71" spans="1:7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">
        <v>15</v>
      </c>
      <c r="F71" s="3" t="s">
        <v>14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">
        <v>21</v>
      </c>
      <c r="F72" s="3" t="s">
        <v>21</v>
      </c>
      <c r="G72" s="3" t="s">
        <v>1614</v>
      </c>
    </row>
    <row r="73" spans="1:7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">
        <v>23</v>
      </c>
      <c r="F73" s="3" t="s">
        <v>65</v>
      </c>
      <c r="G73" s="3" t="s">
        <v>1613</v>
      </c>
    </row>
    <row r="74" spans="1:7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">
        <v>33</v>
      </c>
      <c r="F74" s="3">
        <v>0</v>
      </c>
      <c r="G74" s="3" t="s">
        <v>1617</v>
      </c>
    </row>
    <row r="75" spans="1:7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">
        <v>43</v>
      </c>
      <c r="F75" s="3" t="s">
        <v>70</v>
      </c>
      <c r="G75" s="3" t="s">
        <v>1615</v>
      </c>
    </row>
    <row r="76" spans="1:7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">
        <v>9</v>
      </c>
      <c r="F76" s="3" t="s">
        <v>64</v>
      </c>
      <c r="G76" s="3" t="s">
        <v>1615</v>
      </c>
    </row>
    <row r="77" spans="1:7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">
        <v>40</v>
      </c>
      <c r="F77" s="3" t="s">
        <v>39</v>
      </c>
      <c r="G77" s="3" t="s">
        <v>1615</v>
      </c>
    </row>
    <row r="78" spans="1:7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">
        <v>9</v>
      </c>
      <c r="F78" s="3" t="s">
        <v>64</v>
      </c>
      <c r="G78" s="3" t="s">
        <v>1613</v>
      </c>
    </row>
    <row r="79" spans="1:7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">
        <v>25</v>
      </c>
      <c r="F79" s="3" t="s">
        <v>66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">
        <v>25</v>
      </c>
      <c r="F80" s="3" t="s">
        <v>66</v>
      </c>
      <c r="G80" s="3" t="s">
        <v>1616</v>
      </c>
    </row>
    <row r="81" spans="1:7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">
        <v>43</v>
      </c>
      <c r="F81" s="3" t="s">
        <v>70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">
        <v>25</v>
      </c>
      <c r="F82" s="3" t="s">
        <v>66</v>
      </c>
      <c r="G82" s="3" t="s">
        <v>1614</v>
      </c>
    </row>
    <row r="83" spans="1:7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">
        <v>43</v>
      </c>
      <c r="F83" s="3" t="s">
        <v>70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">
        <v>27</v>
      </c>
      <c r="F84" s="3" t="s">
        <v>67</v>
      </c>
      <c r="G84" s="3" t="s">
        <v>1614</v>
      </c>
    </row>
    <row r="85" spans="1:7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">
        <v>9</v>
      </c>
      <c r="F85" s="3" t="s">
        <v>64</v>
      </c>
      <c r="G85" s="3" t="s">
        <v>1615</v>
      </c>
    </row>
    <row r="86" spans="1:7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">
        <v>15</v>
      </c>
      <c r="F86" s="3" t="s">
        <v>14</v>
      </c>
      <c r="G86" s="3" t="s">
        <v>1615</v>
      </c>
    </row>
    <row r="87" spans="1:7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">
        <v>9</v>
      </c>
      <c r="F87" s="3" t="s">
        <v>64</v>
      </c>
      <c r="G87" s="3" t="s">
        <v>1617</v>
      </c>
    </row>
    <row r="88" spans="1:7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">
        <v>25</v>
      </c>
      <c r="F88" s="3" t="s">
        <v>66</v>
      </c>
      <c r="G88" s="3" t="s">
        <v>1615</v>
      </c>
    </row>
    <row r="89" spans="1:7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">
        <v>29</v>
      </c>
      <c r="F89" s="3" t="s">
        <v>17</v>
      </c>
      <c r="G89" s="3" t="s">
        <v>1617</v>
      </c>
    </row>
    <row r="90" spans="1:7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">
        <v>9</v>
      </c>
      <c r="F90" s="3" t="s">
        <v>64</v>
      </c>
      <c r="G90" s="3" t="s">
        <v>1617</v>
      </c>
    </row>
    <row r="91" spans="1:7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">
        <v>9</v>
      </c>
      <c r="F91" s="3" t="s">
        <v>64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">
        <v>36</v>
      </c>
      <c r="F92" s="3" t="s">
        <v>68</v>
      </c>
      <c r="G92" s="3" t="s">
        <v>1614</v>
      </c>
    </row>
    <row r="93" spans="1:7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">
        <v>15</v>
      </c>
      <c r="F93" s="3" t="s">
        <v>14</v>
      </c>
      <c r="G93" s="3" t="s">
        <v>1617</v>
      </c>
    </row>
    <row r="94" spans="1:7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">
        <v>9</v>
      </c>
      <c r="F94" s="3" t="s">
        <v>64</v>
      </c>
      <c r="G94" s="3" t="s">
        <v>1617</v>
      </c>
    </row>
    <row r="95" spans="1:7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">
        <v>40</v>
      </c>
      <c r="F95" s="3" t="s">
        <v>39</v>
      </c>
      <c r="G95" s="3" t="s">
        <v>1615</v>
      </c>
    </row>
    <row r="96" spans="1:7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">
        <v>47</v>
      </c>
      <c r="F96" s="3" t="s">
        <v>46</v>
      </c>
      <c r="G96" s="3" t="s">
        <v>1617</v>
      </c>
    </row>
    <row r="97" spans="1:7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">
        <v>25</v>
      </c>
      <c r="F97" s="3" t="s">
        <v>66</v>
      </c>
      <c r="G97" s="3" t="s">
        <v>1617</v>
      </c>
    </row>
    <row r="98" spans="1:7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">
        <v>15</v>
      </c>
      <c r="F98" s="3" t="s">
        <v>14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">
        <v>31</v>
      </c>
      <c r="F99" s="3" t="s">
        <v>31</v>
      </c>
      <c r="G99" s="3" t="s">
        <v>1616</v>
      </c>
    </row>
    <row r="100" spans="1:7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">
        <v>33</v>
      </c>
      <c r="F100" s="3">
        <v>0</v>
      </c>
      <c r="G100" s="3" t="s">
        <v>1617</v>
      </c>
    </row>
    <row r="101" spans="1:7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">
        <v>25</v>
      </c>
      <c r="F101" s="3" t="s">
        <v>66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">
        <v>49</v>
      </c>
      <c r="F102" s="3" t="s">
        <v>48</v>
      </c>
      <c r="G102" s="3" t="s">
        <v>1614</v>
      </c>
    </row>
    <row r="103" spans="1:7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">
        <v>47</v>
      </c>
      <c r="F103" s="3" t="s">
        <v>46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v>0</v>
      </c>
      <c r="F104" s="3">
        <v>0</v>
      </c>
      <c r="G104" s="3" t="s">
        <v>1614</v>
      </c>
    </row>
    <row r="105" spans="1:7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">
        <v>25</v>
      </c>
      <c r="F105" s="3" t="s">
        <v>66</v>
      </c>
      <c r="G105" s="3" t="s">
        <v>1617</v>
      </c>
    </row>
    <row r="106" spans="1:7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">
        <v>38</v>
      </c>
      <c r="F106" s="3" t="s">
        <v>69</v>
      </c>
      <c r="G106" s="3" t="s">
        <v>1617</v>
      </c>
    </row>
    <row r="107" spans="1:7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">
        <v>25</v>
      </c>
      <c r="F107" s="3" t="s">
        <v>66</v>
      </c>
      <c r="G107" s="3" t="s">
        <v>1617</v>
      </c>
    </row>
    <row r="108" spans="1:7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">
        <v>40</v>
      </c>
      <c r="F108" s="3" t="s">
        <v>39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">
        <v>29</v>
      </c>
      <c r="F109" s="3" t="s">
        <v>17</v>
      </c>
      <c r="G109" s="3" t="s">
        <v>1614</v>
      </c>
    </row>
    <row r="110" spans="1:7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">
        <v>43</v>
      </c>
      <c r="F110" s="3" t="s">
        <v>70</v>
      </c>
      <c r="G110" s="3" t="s">
        <v>1615</v>
      </c>
    </row>
    <row r="111" spans="1:7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">
        <v>25</v>
      </c>
      <c r="F111" s="3" t="s">
        <v>66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">
        <v>36</v>
      </c>
      <c r="F112" s="3" t="s">
        <v>68</v>
      </c>
      <c r="G112" s="3" t="s">
        <v>1614</v>
      </c>
    </row>
    <row r="113" spans="1:7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">
        <v>25</v>
      </c>
      <c r="F113" s="3" t="s">
        <v>66</v>
      </c>
      <c r="G113" s="3" t="s">
        <v>1613</v>
      </c>
    </row>
    <row r="114" spans="1:7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">
        <v>9</v>
      </c>
      <c r="F114" s="3" t="s">
        <v>64</v>
      </c>
      <c r="G114" s="3" t="s">
        <v>1617</v>
      </c>
    </row>
    <row r="115" spans="1:7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">
        <v>15</v>
      </c>
      <c r="F115" s="3" t="s">
        <v>14</v>
      </c>
      <c r="G115" s="3" t="s">
        <v>1617</v>
      </c>
    </row>
    <row r="116" spans="1:7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">
        <v>23</v>
      </c>
      <c r="F116" s="3" t="s">
        <v>65</v>
      </c>
      <c r="G116" s="3" t="s">
        <v>1617</v>
      </c>
    </row>
    <row r="117" spans="1:7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">
        <v>21</v>
      </c>
      <c r="F117" s="3" t="s">
        <v>21</v>
      </c>
      <c r="G117" s="3" t="s">
        <v>1617</v>
      </c>
    </row>
    <row r="118" spans="1:7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">
        <v>15</v>
      </c>
      <c r="F118" s="3" t="s">
        <v>14</v>
      </c>
      <c r="G118" s="3" t="s">
        <v>1617</v>
      </c>
    </row>
    <row r="119" spans="1:7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">
        <v>9</v>
      </c>
      <c r="F119" s="3" t="s">
        <v>64</v>
      </c>
      <c r="G119" s="3" t="s">
        <v>1613</v>
      </c>
    </row>
    <row r="120" spans="1:7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">
        <v>9</v>
      </c>
      <c r="F120" s="3" t="s">
        <v>64</v>
      </c>
      <c r="G120" s="3" t="s">
        <v>1615</v>
      </c>
    </row>
    <row r="121" spans="1:7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">
        <v>9</v>
      </c>
      <c r="F121" s="3" t="s">
        <v>64</v>
      </c>
      <c r="G121" s="3" t="s">
        <v>1617</v>
      </c>
    </row>
    <row r="122" spans="1:7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">
        <v>40</v>
      </c>
      <c r="F122" s="3" t="s">
        <v>39</v>
      </c>
      <c r="G122" s="3" t="s">
        <v>1617</v>
      </c>
    </row>
    <row r="123" spans="1:7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">
        <v>25</v>
      </c>
      <c r="F123" s="3" t="s">
        <v>66</v>
      </c>
      <c r="G123" s="3" t="s">
        <v>1617</v>
      </c>
    </row>
    <row r="124" spans="1:7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">
        <v>9</v>
      </c>
      <c r="F124" s="3" t="s">
        <v>64</v>
      </c>
      <c r="G124" s="3" t="s">
        <v>1617</v>
      </c>
    </row>
    <row r="125" spans="1:7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">
        <v>15</v>
      </c>
      <c r="F125" s="3" t="s">
        <v>14</v>
      </c>
      <c r="G125" s="3" t="s">
        <v>1615</v>
      </c>
    </row>
    <row r="126" spans="1:7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">
        <v>33</v>
      </c>
      <c r="F126" s="3">
        <v>0</v>
      </c>
      <c r="G126" s="3" t="s">
        <v>1617</v>
      </c>
    </row>
    <row r="127" spans="1:7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">
        <v>40</v>
      </c>
      <c r="F127" s="3" t="s">
        <v>39</v>
      </c>
      <c r="G127" s="3" t="s">
        <v>1617</v>
      </c>
    </row>
    <row r="128" spans="1:7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">
        <v>43</v>
      </c>
      <c r="F128" s="3" t="s">
        <v>70</v>
      </c>
      <c r="G128" s="3" t="s">
        <v>1613</v>
      </c>
    </row>
    <row r="129" spans="1:7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">
        <v>29</v>
      </c>
      <c r="F129" s="3" t="s">
        <v>17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">
        <v>9</v>
      </c>
      <c r="F130" s="3" t="s">
        <v>64</v>
      </c>
      <c r="G130" s="3" t="s">
        <v>1614</v>
      </c>
    </row>
    <row r="131" spans="1:7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">
        <v>43</v>
      </c>
      <c r="F131" s="3" t="s">
        <v>70</v>
      </c>
      <c r="G131" s="3" t="s">
        <v>1617</v>
      </c>
    </row>
    <row r="132" spans="1:7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">
        <v>47</v>
      </c>
      <c r="F132" s="3" t="s">
        <v>46</v>
      </c>
      <c r="G132" s="3" t="s">
        <v>1617</v>
      </c>
    </row>
    <row r="133" spans="1:7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">
        <v>43</v>
      </c>
      <c r="F133" s="3" t="s">
        <v>70</v>
      </c>
      <c r="G133" s="3" t="s">
        <v>1615</v>
      </c>
    </row>
    <row r="134" spans="1:7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">
        <v>29</v>
      </c>
      <c r="F134" s="3" t="s">
        <v>17</v>
      </c>
      <c r="G134" s="3" t="s">
        <v>1617</v>
      </c>
    </row>
    <row r="135" spans="1:7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">
        <v>29</v>
      </c>
      <c r="F135" s="3" t="s">
        <v>17</v>
      </c>
      <c r="G135" s="3" t="s">
        <v>1617</v>
      </c>
    </row>
    <row r="136" spans="1:7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">
        <v>25</v>
      </c>
      <c r="F136" s="3" t="s">
        <v>66</v>
      </c>
      <c r="G136" s="3" t="s">
        <v>1617</v>
      </c>
    </row>
    <row r="137" spans="1:7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">
        <v>38</v>
      </c>
      <c r="F137" s="3" t="s">
        <v>69</v>
      </c>
      <c r="G137" s="3" t="s">
        <v>1617</v>
      </c>
    </row>
    <row r="138" spans="1:7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">
        <v>29</v>
      </c>
      <c r="F138" s="3" t="s">
        <v>17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">
        <v>29</v>
      </c>
      <c r="F139" s="3" t="s">
        <v>17</v>
      </c>
      <c r="G139" s="3" t="s">
        <v>1614</v>
      </c>
    </row>
    <row r="140" spans="1:7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">
        <v>9</v>
      </c>
      <c r="F140" s="3" t="s">
        <v>64</v>
      </c>
      <c r="G140" s="3" t="s">
        <v>1617</v>
      </c>
    </row>
    <row r="141" spans="1:7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">
        <v>9</v>
      </c>
      <c r="F141" s="3" t="s">
        <v>64</v>
      </c>
      <c r="G141" s="3" t="s">
        <v>1617</v>
      </c>
    </row>
    <row r="142" spans="1:7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">
        <v>15</v>
      </c>
      <c r="F142" s="3" t="s">
        <v>14</v>
      </c>
      <c r="G142" s="3" t="s">
        <v>1617</v>
      </c>
    </row>
    <row r="143" spans="1:7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">
        <v>9</v>
      </c>
      <c r="F143" s="3" t="s">
        <v>64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">
        <v>25</v>
      </c>
      <c r="F144" s="3" t="s">
        <v>66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v>0</v>
      </c>
      <c r="F145" s="3">
        <v>0</v>
      </c>
      <c r="G145" s="3" t="s">
        <v>1614</v>
      </c>
    </row>
    <row r="146" spans="1:7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">
        <v>36</v>
      </c>
      <c r="F146" s="3" t="s">
        <v>68</v>
      </c>
      <c r="G146" s="3" t="s">
        <v>1617</v>
      </c>
    </row>
    <row r="147" spans="1:7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">
        <v>9</v>
      </c>
      <c r="F147" s="3" t="s">
        <v>64</v>
      </c>
      <c r="G147" s="3" t="s">
        <v>1613</v>
      </c>
    </row>
    <row r="148" spans="1:7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">
        <v>15</v>
      </c>
      <c r="F148" s="3" t="s">
        <v>14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">
        <v>40</v>
      </c>
      <c r="F149" s="3" t="s">
        <v>39</v>
      </c>
      <c r="G149" s="3" t="s">
        <v>1614</v>
      </c>
    </row>
    <row r="150" spans="1:7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">
        <v>15</v>
      </c>
      <c r="F150" s="3" t="s">
        <v>14</v>
      </c>
      <c r="G150" s="3" t="s">
        <v>1617</v>
      </c>
    </row>
    <row r="151" spans="1:7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">
        <v>40</v>
      </c>
      <c r="F151" s="3" t="s">
        <v>39</v>
      </c>
      <c r="G151" s="3" t="s">
        <v>1617</v>
      </c>
    </row>
    <row r="152" spans="1:7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">
        <v>45</v>
      </c>
      <c r="F152" s="3" t="s">
        <v>71</v>
      </c>
      <c r="G152" s="3" t="s">
        <v>1615</v>
      </c>
    </row>
    <row r="153" spans="1:7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">
        <v>15</v>
      </c>
      <c r="F153" s="3" t="s">
        <v>14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">
        <v>40</v>
      </c>
      <c r="F154" s="3" t="s">
        <v>39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">
        <v>29</v>
      </c>
      <c r="F155" s="3" t="s">
        <v>17</v>
      </c>
      <c r="G155" s="3" t="s">
        <v>1614</v>
      </c>
    </row>
    <row r="156" spans="1:7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">
        <v>43</v>
      </c>
      <c r="F156" s="3" t="s">
        <v>70</v>
      </c>
      <c r="G156" s="3" t="s">
        <v>1613</v>
      </c>
    </row>
    <row r="157" spans="1:7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">
        <v>15</v>
      </c>
      <c r="F157" s="3" t="s">
        <v>14</v>
      </c>
      <c r="G157" s="3" t="s">
        <v>1615</v>
      </c>
    </row>
    <row r="158" spans="1:7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">
        <v>23</v>
      </c>
      <c r="F158" s="3" t="s">
        <v>65</v>
      </c>
      <c r="G158" s="3" t="s">
        <v>1615</v>
      </c>
    </row>
    <row r="159" spans="1:7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">
        <v>9</v>
      </c>
      <c r="F159" s="3" t="s">
        <v>64</v>
      </c>
      <c r="G159" s="3" t="s">
        <v>1615</v>
      </c>
    </row>
    <row r="160" spans="1:7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">
        <v>43</v>
      </c>
      <c r="F160" s="3" t="s">
        <v>70</v>
      </c>
      <c r="G160" s="3" t="s">
        <v>1613</v>
      </c>
    </row>
    <row r="161" spans="1:7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">
        <v>9</v>
      </c>
      <c r="F161" s="3" t="s">
        <v>64</v>
      </c>
      <c r="G161" s="3" t="s">
        <v>1613</v>
      </c>
    </row>
    <row r="162" spans="1:7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">
        <v>9</v>
      </c>
      <c r="F162" s="3" t="s">
        <v>64</v>
      </c>
      <c r="G162" s="3" t="s">
        <v>1613</v>
      </c>
    </row>
    <row r="163" spans="1:7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">
        <v>29</v>
      </c>
      <c r="F163" s="3" t="s">
        <v>17</v>
      </c>
      <c r="G163" s="3" t="s">
        <v>1613</v>
      </c>
    </row>
    <row r="164" spans="1:7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">
        <v>45</v>
      </c>
      <c r="F164" s="3" t="s">
        <v>71</v>
      </c>
      <c r="G164" s="3" t="s">
        <v>1615</v>
      </c>
    </row>
    <row r="165" spans="1:7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">
        <v>9</v>
      </c>
      <c r="F165" s="3" t="s">
        <v>64</v>
      </c>
      <c r="G165" s="3" t="s">
        <v>1613</v>
      </c>
    </row>
    <row r="166" spans="1:7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">
        <v>9</v>
      </c>
      <c r="F166" s="3" t="s">
        <v>64</v>
      </c>
      <c r="G166" s="3" t="s">
        <v>1615</v>
      </c>
    </row>
    <row r="167" spans="1:7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">
        <v>36</v>
      </c>
      <c r="F167" s="3" t="s">
        <v>68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">
        <v>40</v>
      </c>
      <c r="F168" s="3" t="s">
        <v>39</v>
      </c>
      <c r="G168" s="3" t="s">
        <v>1614</v>
      </c>
    </row>
    <row r="169" spans="1:7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">
        <v>29</v>
      </c>
      <c r="F169" s="3" t="s">
        <v>17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">
        <v>53</v>
      </c>
      <c r="F170" s="3" t="s">
        <v>53</v>
      </c>
      <c r="G170" s="3">
        <v>0</v>
      </c>
    </row>
    <row r="171" spans="1:7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">
        <v>11</v>
      </c>
      <c r="F171" s="3" t="s">
        <v>10</v>
      </c>
      <c r="G171" s="3" t="s">
        <v>1617</v>
      </c>
    </row>
    <row r="172" spans="1:7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">
        <v>29</v>
      </c>
      <c r="F172" s="3" t="s">
        <v>17</v>
      </c>
      <c r="G172" s="3" t="s">
        <v>1617</v>
      </c>
    </row>
    <row r="173" spans="1:7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">
        <v>9</v>
      </c>
      <c r="F173" s="3" t="s">
        <v>64</v>
      </c>
      <c r="G173" s="3" t="s">
        <v>1613</v>
      </c>
    </row>
    <row r="174" spans="1:7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">
        <v>25</v>
      </c>
      <c r="F174" s="3" t="s">
        <v>66</v>
      </c>
      <c r="G174" s="3" t="s">
        <v>1617</v>
      </c>
    </row>
    <row r="175" spans="1:7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">
        <v>23</v>
      </c>
      <c r="F175" s="3" t="s">
        <v>65</v>
      </c>
      <c r="G175" s="3" t="s">
        <v>1613</v>
      </c>
    </row>
    <row r="176" spans="1:7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">
        <v>9</v>
      </c>
      <c r="F176" s="3" t="s">
        <v>64</v>
      </c>
      <c r="G176" s="3" t="s">
        <v>1617</v>
      </c>
    </row>
    <row r="177" spans="1:7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">
        <v>9</v>
      </c>
      <c r="F177" s="3" t="s">
        <v>64</v>
      </c>
      <c r="G177" s="3" t="s">
        <v>1613</v>
      </c>
    </row>
    <row r="178" spans="1:7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">
        <v>25</v>
      </c>
      <c r="F178" s="3" t="s">
        <v>66</v>
      </c>
      <c r="G178" s="3" t="s">
        <v>1617</v>
      </c>
    </row>
    <row r="179" spans="1:7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">
        <v>9</v>
      </c>
      <c r="F179" s="3" t="s">
        <v>64</v>
      </c>
      <c r="G179" s="3" t="s">
        <v>1613</v>
      </c>
    </row>
    <row r="180" spans="1:7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">
        <v>43</v>
      </c>
      <c r="F180" s="3" t="s">
        <v>70</v>
      </c>
      <c r="G180" s="3" t="s">
        <v>1613</v>
      </c>
    </row>
    <row r="181" spans="1:7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">
        <v>33</v>
      </c>
      <c r="F181" s="3">
        <v>0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">
        <v>9</v>
      </c>
      <c r="F182" s="3" t="s">
        <v>64</v>
      </c>
      <c r="G182" s="3" t="s">
        <v>1614</v>
      </c>
    </row>
    <row r="183" spans="1:7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">
        <v>43</v>
      </c>
      <c r="F183" s="3" t="s">
        <v>70</v>
      </c>
      <c r="G183" s="3" t="s">
        <v>1617</v>
      </c>
    </row>
    <row r="184" spans="1:7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">
        <v>9</v>
      </c>
      <c r="F184" s="3" t="s">
        <v>64</v>
      </c>
      <c r="G184" s="3" t="s">
        <v>1617</v>
      </c>
    </row>
    <row r="185" spans="1:7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">
        <v>43</v>
      </c>
      <c r="F185" s="3" t="s">
        <v>70</v>
      </c>
      <c r="G185" s="3" t="s">
        <v>1615</v>
      </c>
    </row>
    <row r="186" spans="1:7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">
        <v>15</v>
      </c>
      <c r="F186" s="3" t="s">
        <v>14</v>
      </c>
      <c r="G186" s="3" t="s">
        <v>1615</v>
      </c>
    </row>
    <row r="187" spans="1:7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">
        <v>23</v>
      </c>
      <c r="F187" s="3" t="s">
        <v>65</v>
      </c>
      <c r="G187" s="3" t="s">
        <v>1613</v>
      </c>
    </row>
    <row r="188" spans="1:7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">
        <v>11</v>
      </c>
      <c r="F188" s="3" t="s">
        <v>10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">
        <v>49</v>
      </c>
      <c r="F189" s="3" t="s">
        <v>48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">
        <v>53</v>
      </c>
      <c r="F190" s="3" t="s">
        <v>53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">
        <v>49</v>
      </c>
      <c r="F191" s="3" t="s">
        <v>48</v>
      </c>
      <c r="G191" s="3" t="s">
        <v>1614</v>
      </c>
    </row>
    <row r="192" spans="1:7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">
        <v>36</v>
      </c>
      <c r="F192" s="3" t="s">
        <v>68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">
        <v>9</v>
      </c>
      <c r="F193" s="3" t="s">
        <v>64</v>
      </c>
      <c r="G193" s="3" t="s">
        <v>1614</v>
      </c>
    </row>
    <row r="194" spans="1:7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">
        <v>15</v>
      </c>
      <c r="F194" s="3" t="s">
        <v>14</v>
      </c>
      <c r="G194" s="3" t="s">
        <v>1617</v>
      </c>
    </row>
    <row r="195" spans="1:7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">
        <v>33</v>
      </c>
      <c r="F195" s="3">
        <v>0</v>
      </c>
      <c r="G195" s="3" t="s">
        <v>1617</v>
      </c>
    </row>
    <row r="196" spans="1:7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">
        <v>43</v>
      </c>
      <c r="F196" s="3" t="s">
        <v>70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">
        <v>29</v>
      </c>
      <c r="F197" s="3" t="s">
        <v>17</v>
      </c>
      <c r="G197" s="3" t="s">
        <v>1614</v>
      </c>
    </row>
    <row r="198" spans="1:7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">
        <v>15</v>
      </c>
      <c r="F198" s="3" t="s">
        <v>14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">
        <v>52</v>
      </c>
      <c r="F199" s="3" t="s">
        <v>51</v>
      </c>
      <c r="G199" s="3" t="s">
        <v>1614</v>
      </c>
    </row>
    <row r="200" spans="1:7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">
        <v>19</v>
      </c>
      <c r="F200" s="3" t="s">
        <v>18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">
        <v>29</v>
      </c>
      <c r="F201" s="3" t="s">
        <v>17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">
        <v>47</v>
      </c>
      <c r="F202" s="3" t="s">
        <v>46</v>
      </c>
      <c r="G202" s="3" t="s">
        <v>1614</v>
      </c>
    </row>
    <row r="203" spans="1:7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">
        <v>43</v>
      </c>
      <c r="F203" s="3" t="s">
        <v>70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">
        <v>15</v>
      </c>
      <c r="F204" s="3" t="s">
        <v>14</v>
      </c>
      <c r="G204" s="3" t="s">
        <v>1616</v>
      </c>
    </row>
    <row r="205" spans="1:7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">
        <v>9</v>
      </c>
      <c r="F205" s="3" t="s">
        <v>64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">
        <v>29</v>
      </c>
      <c r="F206" s="3" t="s">
        <v>17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">
        <v>45</v>
      </c>
      <c r="F207" s="3" t="s">
        <v>71</v>
      </c>
      <c r="G207" s="3" t="s">
        <v>1614</v>
      </c>
    </row>
    <row r="208" spans="1:7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">
        <v>19</v>
      </c>
      <c r="F208" s="3" t="s">
        <v>18</v>
      </c>
      <c r="G208" s="3" t="s">
        <v>1617</v>
      </c>
    </row>
    <row r="209" spans="1:7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">
        <v>9</v>
      </c>
      <c r="F209" s="3" t="s">
        <v>64</v>
      </c>
      <c r="G209" s="3" t="s">
        <v>1617</v>
      </c>
    </row>
    <row r="210" spans="1:7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">
        <v>9</v>
      </c>
      <c r="F210" s="3" t="s">
        <v>64</v>
      </c>
      <c r="G210" s="3" t="s">
        <v>1615</v>
      </c>
    </row>
    <row r="211" spans="1:7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">
        <v>9</v>
      </c>
      <c r="F211" s="3" t="s">
        <v>64</v>
      </c>
      <c r="G211" s="3" t="s">
        <v>1613</v>
      </c>
    </row>
    <row r="212" spans="1:7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">
        <v>29</v>
      </c>
      <c r="F212" s="3" t="s">
        <v>17</v>
      </c>
      <c r="G212" s="3" t="s">
        <v>1617</v>
      </c>
    </row>
    <row r="213" spans="1:7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">
        <v>19</v>
      </c>
      <c r="F213" s="3" t="s">
        <v>18</v>
      </c>
      <c r="G213" s="3" t="s">
        <v>1617</v>
      </c>
    </row>
    <row r="214" spans="1:7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">
        <v>25</v>
      </c>
      <c r="F214" s="3" t="s">
        <v>66</v>
      </c>
      <c r="G214" s="3" t="s">
        <v>1613</v>
      </c>
    </row>
    <row r="215" spans="1:7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">
        <v>9</v>
      </c>
      <c r="F215" s="3" t="s">
        <v>64</v>
      </c>
      <c r="G215" s="3" t="s">
        <v>1615</v>
      </c>
    </row>
    <row r="216" spans="1:7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">
        <v>15</v>
      </c>
      <c r="F216" s="3" t="s">
        <v>14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">
        <v>9</v>
      </c>
      <c r="F217" s="3" t="s">
        <v>64</v>
      </c>
      <c r="G217" s="3" t="s">
        <v>1614</v>
      </c>
    </row>
    <row r="218" spans="1:7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">
        <v>45</v>
      </c>
      <c r="F218" s="3" t="s">
        <v>71</v>
      </c>
      <c r="G218" s="3" t="s">
        <v>1615</v>
      </c>
    </row>
    <row r="219" spans="1:7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">
        <v>23</v>
      </c>
      <c r="F219" s="3" t="s">
        <v>65</v>
      </c>
      <c r="G219" s="3" t="s">
        <v>1613</v>
      </c>
    </row>
    <row r="220" spans="1:7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">
        <v>25</v>
      </c>
      <c r="F220" s="3" t="s">
        <v>66</v>
      </c>
      <c r="G220" s="3" t="s">
        <v>1617</v>
      </c>
    </row>
    <row r="221" spans="1:7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">
        <v>15</v>
      </c>
      <c r="F221" s="3" t="s">
        <v>14</v>
      </c>
      <c r="G221" s="3" t="s">
        <v>1617</v>
      </c>
    </row>
    <row r="222" spans="1:7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">
        <v>9</v>
      </c>
      <c r="F222" s="3" t="s">
        <v>64</v>
      </c>
      <c r="G222" s="3" t="s">
        <v>1613</v>
      </c>
    </row>
    <row r="223" spans="1:7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">
        <v>11</v>
      </c>
      <c r="F223" s="3" t="s">
        <v>10</v>
      </c>
      <c r="G223" s="3" t="s">
        <v>1617</v>
      </c>
    </row>
    <row r="224" spans="1:7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">
        <v>29</v>
      </c>
      <c r="F224" s="3" t="s">
        <v>17</v>
      </c>
      <c r="G224" s="3" t="s">
        <v>1617</v>
      </c>
    </row>
    <row r="225" spans="1:7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">
        <v>11</v>
      </c>
      <c r="F225" s="3" t="s">
        <v>10</v>
      </c>
      <c r="G225" s="3" t="s">
        <v>1617</v>
      </c>
    </row>
    <row r="226" spans="1:7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">
        <v>9</v>
      </c>
      <c r="F226" s="3" t="s">
        <v>64</v>
      </c>
      <c r="G226" s="3" t="s">
        <v>1615</v>
      </c>
    </row>
    <row r="227" spans="1:7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">
        <v>19</v>
      </c>
      <c r="F227" s="3" t="s">
        <v>18</v>
      </c>
      <c r="G227" s="3" t="s">
        <v>1615</v>
      </c>
    </row>
    <row r="228" spans="1:7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">
        <v>29</v>
      </c>
      <c r="F228" s="3" t="s">
        <v>17</v>
      </c>
      <c r="G228" s="3" t="s">
        <v>1617</v>
      </c>
    </row>
    <row r="229" spans="1:7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">
        <v>38</v>
      </c>
      <c r="F229" s="3" t="s">
        <v>69</v>
      </c>
      <c r="G229" s="3" t="s">
        <v>1617</v>
      </c>
    </row>
    <row r="230" spans="1:7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">
        <v>9</v>
      </c>
      <c r="F230" s="3" t="s">
        <v>64</v>
      </c>
      <c r="G230" s="3" t="s">
        <v>1615</v>
      </c>
    </row>
    <row r="231" spans="1:7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">
        <v>15</v>
      </c>
      <c r="F231" s="3" t="s">
        <v>14</v>
      </c>
      <c r="G231" s="3" t="s">
        <v>1615</v>
      </c>
    </row>
    <row r="232" spans="1:7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">
        <v>40</v>
      </c>
      <c r="F232" s="3" t="s">
        <v>39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">
        <v>27</v>
      </c>
      <c r="F233" s="3" t="s">
        <v>67</v>
      </c>
      <c r="G233" s="3" t="s">
        <v>1614</v>
      </c>
    </row>
    <row r="234" spans="1:7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">
        <v>25</v>
      </c>
      <c r="F234" s="3" t="s">
        <v>66</v>
      </c>
      <c r="G234" s="3" t="s">
        <v>1613</v>
      </c>
    </row>
    <row r="235" spans="1:7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">
        <v>29</v>
      </c>
      <c r="F235" s="3" t="s">
        <v>17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">
        <v>33</v>
      </c>
      <c r="F236" s="3">
        <v>0</v>
      </c>
      <c r="G236" s="3" t="s">
        <v>1614</v>
      </c>
    </row>
    <row r="237" spans="1:7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">
        <v>43</v>
      </c>
      <c r="F237" s="3" t="s">
        <v>70</v>
      </c>
      <c r="G237" s="3" t="s">
        <v>1615</v>
      </c>
    </row>
    <row r="238" spans="1:7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">
        <v>47</v>
      </c>
      <c r="F238" s="3" t="s">
        <v>46</v>
      </c>
      <c r="G238" s="3" t="s">
        <v>1613</v>
      </c>
    </row>
    <row r="239" spans="1:7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">
        <v>9</v>
      </c>
      <c r="F239" s="3" t="s">
        <v>64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">
        <v>53</v>
      </c>
      <c r="F240" s="3" t="s">
        <v>53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">
        <v>45</v>
      </c>
      <c r="F241" s="3" t="s">
        <v>71</v>
      </c>
      <c r="G241" s="3" t="s">
        <v>1614</v>
      </c>
    </row>
    <row r="242" spans="1:7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">
        <v>38</v>
      </c>
      <c r="F242" s="3" t="s">
        <v>69</v>
      </c>
      <c r="G242" s="3" t="s">
        <v>1615</v>
      </c>
    </row>
    <row r="243" spans="1:7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">
        <v>43</v>
      </c>
      <c r="F243" s="3" t="s">
        <v>70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">
        <v>9</v>
      </c>
      <c r="F244" s="3" t="s">
        <v>64</v>
      </c>
      <c r="G244" s="3" t="s">
        <v>1614</v>
      </c>
    </row>
    <row r="245" spans="1:7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">
        <v>36</v>
      </c>
      <c r="F245" s="3" t="s">
        <v>68</v>
      </c>
      <c r="G245" s="3" t="s">
        <v>1617</v>
      </c>
    </row>
    <row r="246" spans="1:7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">
        <v>25</v>
      </c>
      <c r="F246" s="3" t="s">
        <v>66</v>
      </c>
      <c r="G246" s="3" t="s">
        <v>1613</v>
      </c>
    </row>
    <row r="247" spans="1:7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">
        <v>19</v>
      </c>
      <c r="F247" s="3" t="s">
        <v>18</v>
      </c>
      <c r="G247" s="3" t="s">
        <v>1615</v>
      </c>
    </row>
    <row r="248" spans="1:7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">
        <v>25</v>
      </c>
      <c r="F248" s="3" t="s">
        <v>66</v>
      </c>
      <c r="G248" s="3" t="s">
        <v>1617</v>
      </c>
    </row>
    <row r="249" spans="1:7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">
        <v>40</v>
      </c>
      <c r="F249" s="3" t="s">
        <v>39</v>
      </c>
      <c r="G249" s="3" t="s">
        <v>1617</v>
      </c>
    </row>
    <row r="250" spans="1:7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">
        <v>29</v>
      </c>
      <c r="F250" s="3" t="s">
        <v>17</v>
      </c>
      <c r="G250" s="3" t="s">
        <v>1617</v>
      </c>
    </row>
    <row r="251" spans="1:7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">
        <v>9</v>
      </c>
      <c r="F251" s="3" t="s">
        <v>64</v>
      </c>
      <c r="G251" s="3" t="s">
        <v>1617</v>
      </c>
    </row>
    <row r="252" spans="1:7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">
        <v>9</v>
      </c>
      <c r="F252" s="3" t="s">
        <v>64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">
        <v>29</v>
      </c>
      <c r="F253" s="3" t="s">
        <v>17</v>
      </c>
      <c r="G253" s="3" t="s">
        <v>1614</v>
      </c>
    </row>
    <row r="254" spans="1:7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">
        <v>29</v>
      </c>
      <c r="F254" s="3" t="s">
        <v>17</v>
      </c>
      <c r="G254" s="3" t="s">
        <v>1617</v>
      </c>
    </row>
    <row r="255" spans="1:7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">
        <v>15</v>
      </c>
      <c r="F255" s="3" t="s">
        <v>14</v>
      </c>
      <c r="G255" s="3" t="s">
        <v>1615</v>
      </c>
    </row>
    <row r="256" spans="1:7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">
        <v>25</v>
      </c>
      <c r="F256" s="3" t="s">
        <v>66</v>
      </c>
      <c r="G256" s="3" t="s">
        <v>1617</v>
      </c>
    </row>
    <row r="257" spans="1:7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">
        <v>23</v>
      </c>
      <c r="F257" s="3" t="s">
        <v>65</v>
      </c>
      <c r="G257" s="3" t="s">
        <v>1613</v>
      </c>
    </row>
    <row r="258" spans="1:7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">
        <v>23</v>
      </c>
      <c r="F258" s="3" t="s">
        <v>65</v>
      </c>
      <c r="G258" s="3" t="s">
        <v>1617</v>
      </c>
    </row>
    <row r="259" spans="1:7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">
        <v>43</v>
      </c>
      <c r="F259" s="3" t="s">
        <v>70</v>
      </c>
      <c r="G259" s="3" t="s">
        <v>1615</v>
      </c>
    </row>
    <row r="260" spans="1:7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">
        <v>29</v>
      </c>
      <c r="F260" s="3" t="s">
        <v>17</v>
      </c>
      <c r="G260" s="3" t="s">
        <v>1617</v>
      </c>
    </row>
    <row r="261" spans="1:7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">
        <v>19</v>
      </c>
      <c r="F261" s="3" t="s">
        <v>18</v>
      </c>
      <c r="G261" s="3" t="s">
        <v>1615</v>
      </c>
    </row>
    <row r="262" spans="1:7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">
        <v>38</v>
      </c>
      <c r="F262" s="3" t="s">
        <v>69</v>
      </c>
      <c r="G262" s="3" t="s">
        <v>1617</v>
      </c>
    </row>
    <row r="263" spans="1:7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">
        <v>9</v>
      </c>
      <c r="F263" s="3" t="s">
        <v>64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">
        <v>15</v>
      </c>
      <c r="F264" s="3" t="s">
        <v>14</v>
      </c>
      <c r="G264" s="3" t="s">
        <v>1614</v>
      </c>
    </row>
    <row r="265" spans="1:7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">
        <v>38</v>
      </c>
      <c r="F265" s="3" t="s">
        <v>69</v>
      </c>
      <c r="G265" s="3" t="s">
        <v>1617</v>
      </c>
    </row>
    <row r="266" spans="1:7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">
        <v>25</v>
      </c>
      <c r="F266" s="3" t="s">
        <v>66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">
        <v>23</v>
      </c>
      <c r="F267" s="3" t="s">
        <v>65</v>
      </c>
      <c r="G267" s="3" t="s">
        <v>1614</v>
      </c>
    </row>
    <row r="268" spans="1:7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">
        <v>45</v>
      </c>
      <c r="F268" s="3" t="s">
        <v>71</v>
      </c>
      <c r="G268" s="3" t="s">
        <v>1617</v>
      </c>
    </row>
    <row r="269" spans="1:7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">
        <v>29</v>
      </c>
      <c r="F269" s="3" t="s">
        <v>17</v>
      </c>
      <c r="G269" s="3" t="s">
        <v>1617</v>
      </c>
    </row>
    <row r="270" spans="1:7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">
        <v>43</v>
      </c>
      <c r="F270" s="3" t="s">
        <v>70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">
        <v>29</v>
      </c>
      <c r="F271" s="3" t="s">
        <v>17</v>
      </c>
      <c r="G271" s="3" t="s">
        <v>1614</v>
      </c>
    </row>
    <row r="272" spans="1:7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">
        <v>43</v>
      </c>
      <c r="F272" s="3" t="s">
        <v>70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">
        <v>9</v>
      </c>
      <c r="F273" s="3" t="s">
        <v>64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">
        <v>15</v>
      </c>
      <c r="F274" s="3" t="s">
        <v>14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">
        <v>53</v>
      </c>
      <c r="F275" s="3" t="s">
        <v>53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">
        <v>43</v>
      </c>
      <c r="F276" s="3" t="s">
        <v>70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">
        <v>43</v>
      </c>
      <c r="F277" s="3" t="s">
        <v>70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">
        <v>53</v>
      </c>
      <c r="F278" s="3" t="s">
        <v>53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">
        <v>43</v>
      </c>
      <c r="F279" s="3" t="s">
        <v>70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">
        <v>9</v>
      </c>
      <c r="F280" s="3" t="s">
        <v>64</v>
      </c>
      <c r="G280" s="3" t="s">
        <v>1616</v>
      </c>
    </row>
    <row r="281" spans="1:7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">
        <v>9</v>
      </c>
      <c r="F281" s="3" t="s">
        <v>64</v>
      </c>
      <c r="G281" s="3" t="s">
        <v>1613</v>
      </c>
    </row>
    <row r="282" spans="1:7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">
        <v>9</v>
      </c>
      <c r="F282" s="3" t="s">
        <v>64</v>
      </c>
      <c r="G282" s="3" t="s">
        <v>1615</v>
      </c>
    </row>
    <row r="283" spans="1:7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">
        <v>43</v>
      </c>
      <c r="F283" s="3" t="s">
        <v>70</v>
      </c>
      <c r="G283" s="3" t="s">
        <v>1613</v>
      </c>
    </row>
    <row r="284" spans="1:7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">
        <v>9</v>
      </c>
      <c r="F284" s="3" t="s">
        <v>64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">
        <v>49</v>
      </c>
      <c r="F285" s="3" t="s">
        <v>48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">
        <v>31</v>
      </c>
      <c r="F286" s="3" t="s">
        <v>31</v>
      </c>
      <c r="G286" s="3">
        <v>0</v>
      </c>
    </row>
    <row r="287" spans="1:7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">
        <v>33</v>
      </c>
      <c r="F287" s="3">
        <v>0</v>
      </c>
      <c r="G287" s="3" t="s">
        <v>1615</v>
      </c>
    </row>
    <row r="288" spans="1:7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">
        <v>9</v>
      </c>
      <c r="F288" s="3" t="s">
        <v>64</v>
      </c>
      <c r="G288" s="3" t="s">
        <v>1615</v>
      </c>
    </row>
    <row r="289" spans="1:7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">
        <v>43</v>
      </c>
      <c r="F289" s="3" t="s">
        <v>70</v>
      </c>
      <c r="G289" s="3" t="s">
        <v>1617</v>
      </c>
    </row>
    <row r="290" spans="1:7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">
        <v>25</v>
      </c>
      <c r="F290" s="3" t="s">
        <v>66</v>
      </c>
      <c r="G290" s="3" t="s">
        <v>1617</v>
      </c>
    </row>
    <row r="291" spans="1:7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">
        <v>19</v>
      </c>
      <c r="F291" s="3" t="s">
        <v>18</v>
      </c>
      <c r="G291" s="3" t="s">
        <v>1617</v>
      </c>
    </row>
    <row r="292" spans="1:7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">
        <v>25</v>
      </c>
      <c r="F292" s="3" t="s">
        <v>66</v>
      </c>
      <c r="G292" s="3" t="s">
        <v>1617</v>
      </c>
    </row>
    <row r="293" spans="1:7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">
        <v>9</v>
      </c>
      <c r="F293" s="3" t="s">
        <v>64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">
        <v>31</v>
      </c>
      <c r="F294" s="3" t="s">
        <v>31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">
        <v>21</v>
      </c>
      <c r="F295" s="3" t="s">
        <v>21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">
        <v>53</v>
      </c>
      <c r="F296" s="3" t="s">
        <v>53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">
        <v>53</v>
      </c>
      <c r="F297" s="3" t="s">
        <v>53</v>
      </c>
      <c r="G297" s="3">
        <v>0</v>
      </c>
    </row>
    <row r="298" spans="1:7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">
        <v>29</v>
      </c>
      <c r="F298" s="3" t="s">
        <v>17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">
        <v>9</v>
      </c>
      <c r="F299" s="3" t="s">
        <v>64</v>
      </c>
      <c r="G299" s="3" t="s">
        <v>1614</v>
      </c>
    </row>
    <row r="300" spans="1:7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">
        <v>47</v>
      </c>
      <c r="F300" s="3" t="s">
        <v>46</v>
      </c>
      <c r="G300" s="3" t="s">
        <v>1617</v>
      </c>
    </row>
    <row r="301" spans="1:7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">
        <v>47</v>
      </c>
      <c r="F301" s="3" t="s">
        <v>46</v>
      </c>
      <c r="G301" s="3" t="s">
        <v>1617</v>
      </c>
    </row>
    <row r="302" spans="1:7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">
        <v>29</v>
      </c>
      <c r="F302" s="3" t="s">
        <v>17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">
        <v>27</v>
      </c>
      <c r="F303" s="3" t="s">
        <v>67</v>
      </c>
      <c r="G303" s="3" t="s">
        <v>1614</v>
      </c>
    </row>
    <row r="304" spans="1:7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">
        <v>29</v>
      </c>
      <c r="F304" s="3" t="s">
        <v>17</v>
      </c>
      <c r="G304" s="3" t="s">
        <v>1617</v>
      </c>
    </row>
    <row r="305" spans="1:7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">
        <v>29</v>
      </c>
      <c r="F305" s="3" t="s">
        <v>17</v>
      </c>
      <c r="G305" s="3" t="s">
        <v>1617</v>
      </c>
    </row>
    <row r="306" spans="1:7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">
        <v>33</v>
      </c>
      <c r="F306" s="3">
        <v>0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">
        <v>53</v>
      </c>
      <c r="F307" s="3" t="s">
        <v>53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">
        <v>31</v>
      </c>
      <c r="F308" s="3" t="s">
        <v>31</v>
      </c>
      <c r="G308" s="3">
        <v>0</v>
      </c>
    </row>
    <row r="309" spans="1:7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">
        <v>38</v>
      </c>
      <c r="F309" s="3" t="s">
        <v>69</v>
      </c>
      <c r="G309" s="3" t="s">
        <v>1617</v>
      </c>
    </row>
    <row r="310" spans="1:7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">
        <v>38</v>
      </c>
      <c r="F310" s="3" t="s">
        <v>69</v>
      </c>
      <c r="G310" s="3" t="s">
        <v>1617</v>
      </c>
    </row>
    <row r="311" spans="1:7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">
        <v>38</v>
      </c>
      <c r="F311" s="3" t="s">
        <v>69</v>
      </c>
      <c r="G311" s="3" t="s">
        <v>1617</v>
      </c>
    </row>
    <row r="312" spans="1:7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">
        <v>19</v>
      </c>
      <c r="F312" s="3" t="s">
        <v>18</v>
      </c>
      <c r="G312" s="3" t="s">
        <v>1617</v>
      </c>
    </row>
    <row r="313" spans="1:7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">
        <v>9</v>
      </c>
      <c r="F313" s="3" t="s">
        <v>64</v>
      </c>
      <c r="G313" s="3" t="s">
        <v>1617</v>
      </c>
    </row>
    <row r="314" spans="1:7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">
        <v>40</v>
      </c>
      <c r="F314" s="3" t="s">
        <v>39</v>
      </c>
      <c r="G314" s="3" t="s">
        <v>1615</v>
      </c>
    </row>
    <row r="315" spans="1:7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">
        <v>29</v>
      </c>
      <c r="F315" s="3" t="s">
        <v>17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">
        <v>31</v>
      </c>
      <c r="F316" s="3" t="s">
        <v>31</v>
      </c>
      <c r="G316" s="3" t="s">
        <v>1614</v>
      </c>
    </row>
    <row r="317" spans="1:7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">
        <v>23</v>
      </c>
      <c r="F317" s="3" t="s">
        <v>65</v>
      </c>
      <c r="G317" s="3" t="s">
        <v>1613</v>
      </c>
    </row>
    <row r="318" spans="1:7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">
        <v>27</v>
      </c>
      <c r="F318" s="3" t="s">
        <v>67</v>
      </c>
      <c r="G318" s="3" t="s">
        <v>1617</v>
      </c>
    </row>
    <row r="319" spans="1:7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">
        <v>9</v>
      </c>
      <c r="F319" s="3" t="s">
        <v>64</v>
      </c>
      <c r="G319" s="3" t="s">
        <v>1615</v>
      </c>
    </row>
    <row r="320" spans="1:7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">
        <v>29</v>
      </c>
      <c r="F320" s="3" t="s">
        <v>17</v>
      </c>
      <c r="G320" s="3" t="s">
        <v>1617</v>
      </c>
    </row>
    <row r="321" spans="1:7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">
        <v>43</v>
      </c>
      <c r="F321" s="3" t="s">
        <v>70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">
        <v>53</v>
      </c>
      <c r="F322" s="3" t="s">
        <v>53</v>
      </c>
      <c r="G322" s="3" t="s">
        <v>1614</v>
      </c>
    </row>
    <row r="323" spans="1:7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">
        <v>45</v>
      </c>
      <c r="F323" s="3" t="s">
        <v>71</v>
      </c>
      <c r="G323" s="3" t="s">
        <v>1615</v>
      </c>
    </row>
    <row r="324" spans="1:7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">
        <v>25</v>
      </c>
      <c r="F324" s="3" t="s">
        <v>66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">
        <v>29</v>
      </c>
      <c r="F325" s="3" t="s">
        <v>17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">
        <v>31</v>
      </c>
      <c r="F326" s="3" t="s">
        <v>31</v>
      </c>
      <c r="G326" s="3">
        <v>0</v>
      </c>
    </row>
    <row r="327" spans="1:7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">
        <v>21</v>
      </c>
      <c r="F327" s="3" t="s">
        <v>21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">
        <v>15</v>
      </c>
      <c r="F328" s="3" t="s">
        <v>14</v>
      </c>
      <c r="G328" s="3" t="s">
        <v>1614</v>
      </c>
    </row>
    <row r="329" spans="1:7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">
        <v>25</v>
      </c>
      <c r="F329" s="3" t="s">
        <v>66</v>
      </c>
      <c r="G329" s="3" t="s">
        <v>1617</v>
      </c>
    </row>
    <row r="330" spans="1:7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">
        <v>25</v>
      </c>
      <c r="F330" s="3" t="s">
        <v>66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">
        <v>25</v>
      </c>
      <c r="F331" s="3" t="s">
        <v>66</v>
      </c>
      <c r="G331" s="3" t="s">
        <v>1614</v>
      </c>
    </row>
    <row r="332" spans="1:7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">
        <v>9</v>
      </c>
      <c r="F332" s="3" t="s">
        <v>64</v>
      </c>
      <c r="G332" s="3" t="s">
        <v>1615</v>
      </c>
    </row>
    <row r="333" spans="1:7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">
        <v>38</v>
      </c>
      <c r="F333" s="3" t="s">
        <v>69</v>
      </c>
      <c r="G333" s="3" t="s">
        <v>1613</v>
      </c>
    </row>
    <row r="334" spans="1:7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">
        <v>25</v>
      </c>
      <c r="F334" s="3" t="s">
        <v>66</v>
      </c>
      <c r="G334" s="3" t="s">
        <v>1615</v>
      </c>
    </row>
    <row r="335" spans="1:7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">
        <v>9</v>
      </c>
      <c r="F335" s="3" t="s">
        <v>64</v>
      </c>
      <c r="G335" s="3" t="s">
        <v>1615</v>
      </c>
    </row>
    <row r="336" spans="1:7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">
        <v>9</v>
      </c>
      <c r="F336" s="3" t="s">
        <v>64</v>
      </c>
      <c r="G336" s="3" t="s">
        <v>1617</v>
      </c>
    </row>
    <row r="337" spans="1:7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">
        <v>45</v>
      </c>
      <c r="F337" s="3" t="s">
        <v>71</v>
      </c>
      <c r="G337" s="3" t="s">
        <v>1617</v>
      </c>
    </row>
    <row r="338" spans="1:7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">
        <v>9</v>
      </c>
      <c r="F338" s="3" t="s">
        <v>64</v>
      </c>
      <c r="G338" s="3" t="s">
        <v>1615</v>
      </c>
    </row>
    <row r="339" spans="1:7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">
        <v>33</v>
      </c>
      <c r="F339" s="3">
        <v>0</v>
      </c>
      <c r="G339" s="3" t="s">
        <v>1617</v>
      </c>
    </row>
    <row r="340" spans="1:7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">
        <v>9</v>
      </c>
      <c r="F340" s="3" t="s">
        <v>64</v>
      </c>
      <c r="G340" s="3" t="s">
        <v>1615</v>
      </c>
    </row>
    <row r="341" spans="1:7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">
        <v>29</v>
      </c>
      <c r="F341" s="3" t="s">
        <v>17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">
        <v>31</v>
      </c>
      <c r="F342" s="3" t="s">
        <v>31</v>
      </c>
      <c r="G342" s="3" t="s">
        <v>1614</v>
      </c>
    </row>
    <row r="343" spans="1:7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">
        <v>25</v>
      </c>
      <c r="F343" s="3" t="s">
        <v>66</v>
      </c>
      <c r="G343" s="3" t="s">
        <v>1617</v>
      </c>
    </row>
    <row r="344" spans="1:7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">
        <v>33</v>
      </c>
      <c r="F344" s="3">
        <v>0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">
        <v>43</v>
      </c>
      <c r="F345" s="3" t="s">
        <v>70</v>
      </c>
      <c r="G345" s="3" t="s">
        <v>1614</v>
      </c>
    </row>
    <row r="346" spans="1:7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">
        <v>9</v>
      </c>
      <c r="F346" s="3" t="s">
        <v>64</v>
      </c>
      <c r="G346" s="3" t="s">
        <v>1617</v>
      </c>
    </row>
    <row r="347" spans="1:7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">
        <v>9</v>
      </c>
      <c r="F347" s="3" t="s">
        <v>64</v>
      </c>
      <c r="G347" s="3" t="s">
        <v>1613</v>
      </c>
    </row>
    <row r="348" spans="1:7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">
        <v>15</v>
      </c>
      <c r="F348" s="3" t="s">
        <v>14</v>
      </c>
      <c r="G348" s="3" t="s">
        <v>1617</v>
      </c>
    </row>
    <row r="349" spans="1:7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">
        <v>15</v>
      </c>
      <c r="F349" s="3" t="s">
        <v>14</v>
      </c>
      <c r="G349" s="3" t="s">
        <v>1615</v>
      </c>
    </row>
    <row r="350" spans="1:7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">
        <v>15</v>
      </c>
      <c r="F350" s="3" t="s">
        <v>14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">
        <v>33</v>
      </c>
      <c r="F351" s="3">
        <v>0</v>
      </c>
      <c r="G351" s="3" t="s">
        <v>1614</v>
      </c>
    </row>
    <row r="352" spans="1:7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">
        <v>23</v>
      </c>
      <c r="F352" s="3" t="s">
        <v>65</v>
      </c>
      <c r="G352" s="3" t="s">
        <v>1617</v>
      </c>
    </row>
    <row r="353" spans="1:7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">
        <v>15</v>
      </c>
      <c r="F353" s="3" t="s">
        <v>14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">
        <v>31</v>
      </c>
      <c r="F354" s="3" t="s">
        <v>31</v>
      </c>
      <c r="G354" s="3" t="s">
        <v>1614</v>
      </c>
    </row>
    <row r="355" spans="1:7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">
        <v>25</v>
      </c>
      <c r="F355" s="3" t="s">
        <v>66</v>
      </c>
      <c r="G355" s="3" t="s">
        <v>1613</v>
      </c>
    </row>
    <row r="356" spans="1:7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">
        <v>43</v>
      </c>
      <c r="F356" s="3" t="s">
        <v>70</v>
      </c>
      <c r="G356" s="3" t="s">
        <v>1615</v>
      </c>
    </row>
    <row r="357" spans="1:7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">
        <v>33</v>
      </c>
      <c r="F357" s="3">
        <v>0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">
        <v>53</v>
      </c>
      <c r="F358" s="3" t="s">
        <v>53</v>
      </c>
      <c r="G358" s="3" t="s">
        <v>1614</v>
      </c>
    </row>
    <row r="359" spans="1:7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">
        <v>9</v>
      </c>
      <c r="F359" s="3" t="s">
        <v>64</v>
      </c>
      <c r="G359" s="3" t="s">
        <v>1617</v>
      </c>
    </row>
    <row r="360" spans="1:7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">
        <v>43</v>
      </c>
      <c r="F360" s="3" t="s">
        <v>70</v>
      </c>
      <c r="G360" s="3" t="s">
        <v>1615</v>
      </c>
    </row>
    <row r="361" spans="1:7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">
        <v>45</v>
      </c>
      <c r="F361" s="3" t="s">
        <v>71</v>
      </c>
      <c r="G361" s="3" t="s">
        <v>1617</v>
      </c>
    </row>
    <row r="362" spans="1:7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">
        <v>25</v>
      </c>
      <c r="F362" s="3" t="s">
        <v>66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">
        <v>29</v>
      </c>
      <c r="F363" s="3" t="s">
        <v>17</v>
      </c>
      <c r="G363" s="3" t="s">
        <v>1614</v>
      </c>
    </row>
    <row r="364" spans="1:7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">
        <v>45</v>
      </c>
      <c r="F364" s="3" t="s">
        <v>71</v>
      </c>
      <c r="G364" s="3" t="s">
        <v>1617</v>
      </c>
    </row>
    <row r="365" spans="1:7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">
        <v>19</v>
      </c>
      <c r="F365" s="3" t="s">
        <v>18</v>
      </c>
      <c r="G365" s="3" t="s">
        <v>1615</v>
      </c>
    </row>
    <row r="366" spans="1:7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">
        <v>43</v>
      </c>
      <c r="F366" s="3" t="s">
        <v>70</v>
      </c>
      <c r="G366" s="3" t="s">
        <v>1615</v>
      </c>
    </row>
    <row r="367" spans="1:7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">
        <v>25</v>
      </c>
      <c r="F367" s="3" t="s">
        <v>66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">
        <v>31</v>
      </c>
      <c r="F368" s="3" t="s">
        <v>31</v>
      </c>
      <c r="G368" s="3" t="s">
        <v>1614</v>
      </c>
    </row>
    <row r="369" spans="1:7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">
        <v>25</v>
      </c>
      <c r="F369" s="3" t="s">
        <v>66</v>
      </c>
      <c r="G369" s="3" t="s">
        <v>1613</v>
      </c>
    </row>
    <row r="370" spans="1:7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">
        <v>9</v>
      </c>
      <c r="F370" s="3" t="s">
        <v>64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">
        <v>47</v>
      </c>
      <c r="F371" s="3" t="s">
        <v>46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">
        <v>33</v>
      </c>
      <c r="F372" s="3">
        <v>0</v>
      </c>
      <c r="G372" s="3" t="s">
        <v>1614</v>
      </c>
    </row>
    <row r="373" spans="1:7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">
        <v>15</v>
      </c>
      <c r="F373" s="3" t="s">
        <v>14</v>
      </c>
      <c r="G373" s="3" t="s">
        <v>1617</v>
      </c>
    </row>
    <row r="374" spans="1:7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">
        <v>25</v>
      </c>
      <c r="F374" s="3" t="s">
        <v>66</v>
      </c>
      <c r="G374" s="3" t="s">
        <v>1617</v>
      </c>
    </row>
    <row r="375" spans="1:7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">
        <v>38</v>
      </c>
      <c r="F375" s="3" t="s">
        <v>69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">
        <v>53</v>
      </c>
      <c r="F376" s="3" t="s">
        <v>53</v>
      </c>
      <c r="G376" s="3" t="s">
        <v>1614</v>
      </c>
    </row>
    <row r="377" spans="1:7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">
        <v>15</v>
      </c>
      <c r="F377" s="3" t="s">
        <v>14</v>
      </c>
      <c r="G377" s="3" t="s">
        <v>1615</v>
      </c>
    </row>
    <row r="378" spans="1:7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">
        <v>23</v>
      </c>
      <c r="F378" s="3" t="s">
        <v>65</v>
      </c>
      <c r="G378" s="3" t="s">
        <v>1617</v>
      </c>
    </row>
    <row r="379" spans="1:7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">
        <v>29</v>
      </c>
      <c r="F379" s="3" t="s">
        <v>17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">
        <v>38</v>
      </c>
      <c r="F380" s="3" t="s">
        <v>69</v>
      </c>
      <c r="G380" s="3" t="s">
        <v>1614</v>
      </c>
    </row>
    <row r="381" spans="1:7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">
        <v>43</v>
      </c>
      <c r="F381" s="3" t="s">
        <v>70</v>
      </c>
      <c r="G381" s="3" t="s">
        <v>1615</v>
      </c>
    </row>
    <row r="382" spans="1:7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">
        <v>9</v>
      </c>
      <c r="F382" s="3" t="s">
        <v>64</v>
      </c>
      <c r="G382" s="3" t="s">
        <v>1613</v>
      </c>
    </row>
    <row r="383" spans="1:7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">
        <v>25</v>
      </c>
      <c r="F383" s="3" t="s">
        <v>66</v>
      </c>
      <c r="G383" s="3" t="s">
        <v>1613</v>
      </c>
    </row>
    <row r="384" spans="1:7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">
        <v>57</v>
      </c>
      <c r="F384" s="3" t="s">
        <v>72</v>
      </c>
      <c r="G384" s="3" t="s">
        <v>1617</v>
      </c>
    </row>
    <row r="385" spans="1:7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">
        <v>43</v>
      </c>
      <c r="F385" s="3" t="s">
        <v>70</v>
      </c>
      <c r="G385" s="3" t="s">
        <v>1615</v>
      </c>
    </row>
    <row r="386" spans="1:7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">
        <v>43</v>
      </c>
      <c r="F386" s="3" t="s">
        <v>70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">
        <v>33</v>
      </c>
      <c r="F387" s="3">
        <v>0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">
        <v>57</v>
      </c>
      <c r="F388" s="3" t="s">
        <v>72</v>
      </c>
      <c r="G388" s="3" t="s">
        <v>1614</v>
      </c>
    </row>
    <row r="389" spans="1:7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">
        <v>25</v>
      </c>
      <c r="F389" s="3" t="s">
        <v>66</v>
      </c>
      <c r="G389" s="3" t="s">
        <v>1617</v>
      </c>
    </row>
    <row r="390" spans="1:7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">
        <v>43</v>
      </c>
      <c r="F390" s="3" t="s">
        <v>70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">
        <v>49</v>
      </c>
      <c r="F391" s="3" t="s">
        <v>48</v>
      </c>
      <c r="G391" s="3" t="s">
        <v>1614</v>
      </c>
    </row>
    <row r="392" spans="1:7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">
        <v>9</v>
      </c>
      <c r="F392" s="3" t="s">
        <v>64</v>
      </c>
      <c r="G392" s="3" t="s">
        <v>1617</v>
      </c>
    </row>
    <row r="393" spans="1:7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">
        <v>19</v>
      </c>
      <c r="F393" s="3" t="s">
        <v>18</v>
      </c>
      <c r="G393" s="3" t="s">
        <v>1617</v>
      </c>
    </row>
    <row r="394" spans="1:7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">
        <v>29</v>
      </c>
      <c r="F394" s="3" t="s">
        <v>17</v>
      </c>
      <c r="G394" s="3" t="s">
        <v>1617</v>
      </c>
    </row>
    <row r="395" spans="1:7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">
        <v>23</v>
      </c>
      <c r="F395" s="3" t="s">
        <v>65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">
        <v>9</v>
      </c>
      <c r="F396" s="3" t="s">
        <v>64</v>
      </c>
      <c r="G396" s="3" t="s">
        <v>1614</v>
      </c>
    </row>
    <row r="397" spans="1:7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">
        <v>43</v>
      </c>
      <c r="F397" s="3" t="s">
        <v>70</v>
      </c>
      <c r="G397" s="3" t="s">
        <v>1615</v>
      </c>
    </row>
    <row r="398" spans="1:7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">
        <v>15</v>
      </c>
      <c r="F398" s="3" t="s">
        <v>14</v>
      </c>
      <c r="G398" s="3" t="s">
        <v>1617</v>
      </c>
    </row>
    <row r="399" spans="1:7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">
        <v>15</v>
      </c>
      <c r="F399" s="3" t="s">
        <v>14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">
        <v>57</v>
      </c>
      <c r="F400" s="3" t="s">
        <v>72</v>
      </c>
      <c r="G400" s="3" t="s">
        <v>1614</v>
      </c>
    </row>
    <row r="401" spans="1:7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">
        <v>9</v>
      </c>
      <c r="F401" s="3" t="s">
        <v>64</v>
      </c>
      <c r="G401" s="3" t="s">
        <v>1617</v>
      </c>
    </row>
    <row r="402" spans="1:7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">
        <v>29</v>
      </c>
      <c r="F402" s="3" t="s">
        <v>17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">
        <v>29</v>
      </c>
      <c r="F403" s="3" t="s">
        <v>17</v>
      </c>
      <c r="G403" s="3" t="s">
        <v>1614</v>
      </c>
    </row>
    <row r="404" spans="1:7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">
        <v>29</v>
      </c>
      <c r="F404" s="3" t="s">
        <v>17</v>
      </c>
      <c r="G404" s="3" t="s">
        <v>1617</v>
      </c>
    </row>
    <row r="405" spans="1:7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">
        <v>43</v>
      </c>
      <c r="F405" s="3" t="s">
        <v>70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">
        <v>45</v>
      </c>
      <c r="F406" s="3" t="s">
        <v>71</v>
      </c>
      <c r="G406" s="3" t="s">
        <v>1614</v>
      </c>
    </row>
    <row r="407" spans="1:7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">
        <v>43</v>
      </c>
      <c r="F407" s="3" t="s">
        <v>70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">
        <v>25</v>
      </c>
      <c r="F408" s="3" t="s">
        <v>66</v>
      </c>
      <c r="G408" s="3" t="s">
        <v>1614</v>
      </c>
    </row>
    <row r="409" spans="1:7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">
        <v>33</v>
      </c>
      <c r="F409" s="3">
        <v>0</v>
      </c>
      <c r="G409" s="3" t="s">
        <v>1615</v>
      </c>
    </row>
    <row r="410" spans="1:7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">
        <v>40</v>
      </c>
      <c r="F410" s="3" t="s">
        <v>39</v>
      </c>
      <c r="G410" s="3" t="s">
        <v>1615</v>
      </c>
    </row>
    <row r="411" spans="1:7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">
        <v>25</v>
      </c>
      <c r="F411" s="3" t="s">
        <v>66</v>
      </c>
      <c r="G411" s="3" t="s">
        <v>1617</v>
      </c>
    </row>
    <row r="412" spans="1:7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">
        <v>29</v>
      </c>
      <c r="F412" s="3" t="s">
        <v>17</v>
      </c>
      <c r="G412" s="3" t="s">
        <v>1613</v>
      </c>
    </row>
    <row r="413" spans="1:7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">
        <v>33</v>
      </c>
      <c r="F413" s="3">
        <v>0</v>
      </c>
      <c r="G413" s="3" t="s">
        <v>1617</v>
      </c>
    </row>
    <row r="414" spans="1:7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">
        <v>15</v>
      </c>
      <c r="F414" s="3" t="s">
        <v>14</v>
      </c>
      <c r="G414" s="3" t="s">
        <v>1617</v>
      </c>
    </row>
    <row r="415" spans="1:7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">
        <v>19</v>
      </c>
      <c r="F415" s="3" t="s">
        <v>18</v>
      </c>
      <c r="G415" s="3" t="s">
        <v>1615</v>
      </c>
    </row>
    <row r="416" spans="1:7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">
        <v>25</v>
      </c>
      <c r="F416" s="3" t="s">
        <v>66</v>
      </c>
      <c r="G416" s="3" t="s">
        <v>1617</v>
      </c>
    </row>
    <row r="417" spans="1:7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">
        <v>9</v>
      </c>
      <c r="F417" s="3" t="s">
        <v>64</v>
      </c>
      <c r="G417" s="3" t="s">
        <v>1617</v>
      </c>
    </row>
    <row r="418" spans="1:7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">
        <v>9</v>
      </c>
      <c r="F418" s="3" t="s">
        <v>64</v>
      </c>
      <c r="G418" s="3" t="s">
        <v>1615</v>
      </c>
    </row>
    <row r="419" spans="1:7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">
        <v>43</v>
      </c>
      <c r="F419" s="3" t="s">
        <v>70</v>
      </c>
      <c r="G419" s="3" t="s">
        <v>1615</v>
      </c>
    </row>
    <row r="420" spans="1:7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">
        <v>33</v>
      </c>
      <c r="F420" s="3">
        <v>0</v>
      </c>
      <c r="G420" s="3" t="s">
        <v>1617</v>
      </c>
    </row>
    <row r="421" spans="1:7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">
        <v>25</v>
      </c>
      <c r="F421" s="3" t="s">
        <v>66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">
        <v>43</v>
      </c>
      <c r="F422" s="3" t="s">
        <v>70</v>
      </c>
      <c r="G422" s="3" t="s">
        <v>1614</v>
      </c>
    </row>
    <row r="423" spans="1:7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">
        <v>43</v>
      </c>
      <c r="F423" s="3" t="s">
        <v>70</v>
      </c>
      <c r="G423" s="3" t="s">
        <v>1617</v>
      </c>
    </row>
    <row r="424" spans="1:7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">
        <v>9</v>
      </c>
      <c r="F424" s="3" t="s">
        <v>64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">
        <v>47</v>
      </c>
      <c r="F425" s="3" t="s">
        <v>46</v>
      </c>
      <c r="G425" s="3" t="s">
        <v>1614</v>
      </c>
    </row>
    <row r="426" spans="1:7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">
        <v>11</v>
      </c>
      <c r="F426" s="3" t="s">
        <v>10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">
        <v>21</v>
      </c>
      <c r="F427" s="3" t="s">
        <v>21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">
        <v>49</v>
      </c>
      <c r="F428" s="3" t="s">
        <v>48</v>
      </c>
      <c r="G428" s="3" t="s">
        <v>1614</v>
      </c>
    </row>
    <row r="429" spans="1:7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">
        <v>21</v>
      </c>
      <c r="F429" s="3" t="s">
        <v>21</v>
      </c>
      <c r="G429" s="3" t="s">
        <v>1617</v>
      </c>
    </row>
    <row r="430" spans="1:7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">
        <v>40</v>
      </c>
      <c r="F430" s="3" t="s">
        <v>39</v>
      </c>
      <c r="G430" s="3" t="s">
        <v>1617</v>
      </c>
    </row>
    <row r="431" spans="1:7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">
        <v>43</v>
      </c>
      <c r="F431" s="3" t="s">
        <v>70</v>
      </c>
      <c r="G431" s="3" t="s">
        <v>1615</v>
      </c>
    </row>
    <row r="432" spans="1:7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">
        <v>23</v>
      </c>
      <c r="F432" s="3" t="s">
        <v>65</v>
      </c>
      <c r="G432" s="3" t="s">
        <v>1617</v>
      </c>
    </row>
    <row r="433" spans="1:7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">
        <v>27</v>
      </c>
      <c r="F433" s="3" t="s">
        <v>67</v>
      </c>
      <c r="G433" s="3" t="s">
        <v>1617</v>
      </c>
    </row>
    <row r="434" spans="1:7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">
        <v>43</v>
      </c>
      <c r="F434" s="3" t="s">
        <v>70</v>
      </c>
      <c r="G434" s="3" t="s">
        <v>1615</v>
      </c>
    </row>
    <row r="435" spans="1:7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">
        <v>25</v>
      </c>
      <c r="F435" s="3" t="s">
        <v>66</v>
      </c>
      <c r="G435" s="3" t="s">
        <v>1617</v>
      </c>
    </row>
    <row r="436" spans="1:7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">
        <v>9</v>
      </c>
      <c r="F436" s="3" t="s">
        <v>64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">
        <v>29</v>
      </c>
      <c r="F437" s="3" t="s">
        <v>17</v>
      </c>
      <c r="G437" s="3" t="s">
        <v>1614</v>
      </c>
    </row>
    <row r="438" spans="1:7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">
        <v>9</v>
      </c>
      <c r="F438" s="3" t="s">
        <v>64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">
        <v>53</v>
      </c>
      <c r="F439" s="3" t="s">
        <v>53</v>
      </c>
      <c r="G439" s="3" t="s">
        <v>1614</v>
      </c>
    </row>
    <row r="440" spans="1:7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">
        <v>21</v>
      </c>
      <c r="F440" s="3" t="s">
        <v>21</v>
      </c>
      <c r="G440" s="3" t="s">
        <v>1617</v>
      </c>
    </row>
    <row r="441" spans="1:7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">
        <v>36</v>
      </c>
      <c r="F441" s="3" t="s">
        <v>68</v>
      </c>
      <c r="G441" s="3" t="s">
        <v>1617</v>
      </c>
    </row>
    <row r="442" spans="1:7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">
        <v>38</v>
      </c>
      <c r="F442" s="3" t="s">
        <v>69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">
        <v>31</v>
      </c>
      <c r="F443" s="3" t="s">
        <v>31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">
        <v>19</v>
      </c>
      <c r="F444" s="3" t="s">
        <v>18</v>
      </c>
      <c r="G444" s="3" t="s">
        <v>1614</v>
      </c>
    </row>
    <row r="445" spans="1:7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">
        <v>9</v>
      </c>
      <c r="F445" s="3" t="s">
        <v>64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">
        <v>53</v>
      </c>
      <c r="F446" s="3" t="s">
        <v>53</v>
      </c>
      <c r="G446" s="3">
        <v>0</v>
      </c>
    </row>
    <row r="447" spans="1:7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">
        <v>43</v>
      </c>
      <c r="F447" s="3" t="s">
        <v>70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">
        <v>49</v>
      </c>
      <c r="F448" s="3" t="s">
        <v>48</v>
      </c>
      <c r="G448" s="3" t="s">
        <v>1614</v>
      </c>
    </row>
    <row r="449" spans="1:7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">
        <v>15</v>
      </c>
      <c r="F449" s="3" t="s">
        <v>14</v>
      </c>
      <c r="G449" s="3" t="s">
        <v>1615</v>
      </c>
    </row>
    <row r="450" spans="1:7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">
        <v>9</v>
      </c>
      <c r="F450" s="3" t="s">
        <v>64</v>
      </c>
      <c r="G450" s="3" t="s">
        <v>1613</v>
      </c>
    </row>
    <row r="451" spans="1:7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">
        <v>15</v>
      </c>
      <c r="F451" s="3" t="s">
        <v>14</v>
      </c>
      <c r="G451" s="3" t="s">
        <v>1615</v>
      </c>
    </row>
    <row r="452" spans="1:7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">
        <v>15</v>
      </c>
      <c r="F452" s="3" t="s">
        <v>14</v>
      </c>
      <c r="G452" s="3" t="s">
        <v>1617</v>
      </c>
    </row>
    <row r="453" spans="1:7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">
        <v>9</v>
      </c>
      <c r="F453" s="3" t="s">
        <v>64</v>
      </c>
      <c r="G453" s="3" t="s">
        <v>1617</v>
      </c>
    </row>
    <row r="454" spans="1:7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">
        <v>29</v>
      </c>
      <c r="F454" s="3" t="s">
        <v>17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">
        <v>31</v>
      </c>
      <c r="F455" s="3" t="s">
        <v>31</v>
      </c>
      <c r="G455" s="3">
        <v>0</v>
      </c>
    </row>
    <row r="456" spans="1:7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">
        <v>43</v>
      </c>
      <c r="F456" s="3" t="s">
        <v>70</v>
      </c>
      <c r="G456" s="3" t="s">
        <v>1615</v>
      </c>
    </row>
    <row r="457" spans="1:7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">
        <v>23</v>
      </c>
      <c r="F457" s="3" t="s">
        <v>65</v>
      </c>
      <c r="G457" s="3" t="s">
        <v>1615</v>
      </c>
    </row>
    <row r="458" spans="1:7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">
        <v>9</v>
      </c>
      <c r="F458" s="3" t="s">
        <v>64</v>
      </c>
      <c r="G458" s="3" t="s">
        <v>1615</v>
      </c>
    </row>
    <row r="459" spans="1:7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">
        <v>9</v>
      </c>
      <c r="F459" s="3" t="s">
        <v>64</v>
      </c>
      <c r="G459" s="3" t="s">
        <v>1613</v>
      </c>
    </row>
    <row r="460" spans="1:7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">
        <v>36</v>
      </c>
      <c r="F460" s="3" t="s">
        <v>68</v>
      </c>
      <c r="G460" s="3" t="s">
        <v>1615</v>
      </c>
    </row>
    <row r="461" spans="1:7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">
        <v>43</v>
      </c>
      <c r="F461" s="3" t="s">
        <v>70</v>
      </c>
      <c r="G461" s="3" t="s">
        <v>1617</v>
      </c>
    </row>
    <row r="462" spans="1:7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">
        <v>25</v>
      </c>
      <c r="F462" s="3" t="s">
        <v>66</v>
      </c>
      <c r="G462" s="3" t="s">
        <v>1615</v>
      </c>
    </row>
    <row r="463" spans="1:7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">
        <v>9</v>
      </c>
      <c r="F463" s="3" t="s">
        <v>64</v>
      </c>
      <c r="G463" s="3" t="s">
        <v>1615</v>
      </c>
    </row>
    <row r="464" spans="1:7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">
        <v>15</v>
      </c>
      <c r="F464" s="3" t="s">
        <v>14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">
        <v>53</v>
      </c>
      <c r="F465" s="3" t="s">
        <v>53</v>
      </c>
      <c r="G465" s="3" t="s">
        <v>1616</v>
      </c>
    </row>
    <row r="466" spans="1:7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">
        <v>15</v>
      </c>
      <c r="F466" s="3" t="s">
        <v>14</v>
      </c>
      <c r="G466" s="3" t="s">
        <v>1617</v>
      </c>
    </row>
    <row r="467" spans="1:7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">
        <v>9</v>
      </c>
      <c r="F467" s="3" t="s">
        <v>64</v>
      </c>
      <c r="G467" s="3" t="s">
        <v>1615</v>
      </c>
    </row>
    <row r="468" spans="1:7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">
        <v>38</v>
      </c>
      <c r="F468" s="3" t="s">
        <v>69</v>
      </c>
      <c r="G468" s="3" t="s">
        <v>1613</v>
      </c>
    </row>
    <row r="469" spans="1:7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">
        <v>43</v>
      </c>
      <c r="F469" s="3" t="s">
        <v>70</v>
      </c>
      <c r="G469" s="3" t="s">
        <v>1615</v>
      </c>
    </row>
    <row r="470" spans="1:7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">
        <v>23</v>
      </c>
      <c r="F470" s="3" t="s">
        <v>65</v>
      </c>
      <c r="G470" s="3" t="s">
        <v>1613</v>
      </c>
    </row>
    <row r="471" spans="1:7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">
        <v>25</v>
      </c>
      <c r="F471" s="3" t="s">
        <v>66</v>
      </c>
      <c r="G471" s="3" t="s">
        <v>1615</v>
      </c>
    </row>
    <row r="472" spans="1:7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">
        <v>9</v>
      </c>
      <c r="F472" s="3" t="s">
        <v>64</v>
      </c>
      <c r="G472" s="3" t="s">
        <v>1615</v>
      </c>
    </row>
    <row r="473" spans="1:7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">
        <v>43</v>
      </c>
      <c r="F473" s="3" t="s">
        <v>70</v>
      </c>
      <c r="G473" s="3" t="s">
        <v>1613</v>
      </c>
    </row>
    <row r="474" spans="1:7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">
        <v>25</v>
      </c>
      <c r="F474" s="3" t="s">
        <v>66</v>
      </c>
      <c r="G474" s="3" t="s">
        <v>1613</v>
      </c>
    </row>
    <row r="475" spans="1:7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">
        <v>25</v>
      </c>
      <c r="F475" s="3" t="s">
        <v>66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">
        <v>23</v>
      </c>
      <c r="F476" s="3" t="s">
        <v>65</v>
      </c>
      <c r="G476" s="3" t="s">
        <v>1614</v>
      </c>
    </row>
    <row r="477" spans="1:7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">
        <v>40</v>
      </c>
      <c r="F477" s="3" t="s">
        <v>39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v>0</v>
      </c>
      <c r="F478" s="3">
        <v>0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">
        <v>43</v>
      </c>
      <c r="F479" s="3" t="s">
        <v>70</v>
      </c>
      <c r="G479" s="3" t="s">
        <v>1614</v>
      </c>
    </row>
    <row r="480" spans="1:7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">
        <v>38</v>
      </c>
      <c r="F480" s="3" t="s">
        <v>69</v>
      </c>
      <c r="G480" s="3" t="s">
        <v>1617</v>
      </c>
    </row>
    <row r="481" spans="1:7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">
        <v>43</v>
      </c>
      <c r="F481" s="3" t="s">
        <v>70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">
        <v>9</v>
      </c>
      <c r="F482" s="3" t="s">
        <v>64</v>
      </c>
      <c r="G482" s="3" t="s">
        <v>1616</v>
      </c>
    </row>
    <row r="483" spans="1:7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">
        <v>25</v>
      </c>
      <c r="F483" s="3" t="s">
        <v>66</v>
      </c>
      <c r="G483" s="3" t="s">
        <v>1613</v>
      </c>
    </row>
    <row r="484" spans="1:7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">
        <v>25</v>
      </c>
      <c r="F484" s="3" t="s">
        <v>66</v>
      </c>
      <c r="G484" s="3" t="s">
        <v>1617</v>
      </c>
    </row>
    <row r="485" spans="1:7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">
        <v>43</v>
      </c>
      <c r="F485" s="3" t="s">
        <v>70</v>
      </c>
      <c r="G485" s="3" t="s">
        <v>1617</v>
      </c>
    </row>
    <row r="486" spans="1:7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">
        <v>29</v>
      </c>
      <c r="F486" s="3" t="s">
        <v>17</v>
      </c>
      <c r="G486" s="3" t="s">
        <v>1617</v>
      </c>
    </row>
    <row r="487" spans="1:7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">
        <v>9</v>
      </c>
      <c r="F487" s="3" t="s">
        <v>64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">
        <v>60</v>
      </c>
      <c r="F488" s="3" t="s">
        <v>60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">
        <v>29</v>
      </c>
      <c r="F489" s="3" t="s">
        <v>17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">
        <v>31</v>
      </c>
      <c r="F490" s="3" t="s">
        <v>31</v>
      </c>
      <c r="G490" s="3" t="s">
        <v>1614</v>
      </c>
    </row>
    <row r="491" spans="1:7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">
        <v>9</v>
      </c>
      <c r="F491" s="3" t="s">
        <v>64</v>
      </c>
      <c r="G491" s="3" t="s">
        <v>1613</v>
      </c>
    </row>
    <row r="492" spans="1:7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">
        <v>40</v>
      </c>
      <c r="F492" s="3" t="s">
        <v>39</v>
      </c>
      <c r="G492" s="3" t="s">
        <v>1617</v>
      </c>
    </row>
    <row r="493" spans="1:7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">
        <v>9</v>
      </c>
      <c r="F493" s="3" t="s">
        <v>64</v>
      </c>
      <c r="G493" s="3" t="s">
        <v>1613</v>
      </c>
    </row>
    <row r="494" spans="1:7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">
        <v>11</v>
      </c>
      <c r="F494" s="3" t="s">
        <v>10</v>
      </c>
      <c r="G494" s="3" t="s">
        <v>1617</v>
      </c>
    </row>
    <row r="495" spans="1:7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">
        <v>36</v>
      </c>
      <c r="F495" s="3" t="s">
        <v>68</v>
      </c>
      <c r="G495" s="3" t="s">
        <v>1617</v>
      </c>
    </row>
    <row r="496" spans="1:7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">
        <v>23</v>
      </c>
      <c r="F496" s="3" t="s">
        <v>65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">
        <v>33</v>
      </c>
      <c r="F497" s="3">
        <v>0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">
        <v>19</v>
      </c>
      <c r="F498" s="3" t="s">
        <v>18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">
        <v>49</v>
      </c>
      <c r="F499" s="3" t="s">
        <v>48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">
        <v>43</v>
      </c>
      <c r="F500" s="3" t="s">
        <v>70</v>
      </c>
      <c r="G500" s="3" t="s">
        <v>1614</v>
      </c>
    </row>
    <row r="501" spans="1:7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">
        <v>23</v>
      </c>
      <c r="F501" s="3" t="s">
        <v>65</v>
      </c>
      <c r="G501" s="3" t="s">
        <v>1615</v>
      </c>
    </row>
    <row r="502" spans="1:7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">
        <v>38</v>
      </c>
      <c r="F502" s="3" t="s">
        <v>69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">
        <v>9</v>
      </c>
      <c r="F503" s="3" t="s">
        <v>64</v>
      </c>
      <c r="G503" s="3" t="s">
        <v>1614</v>
      </c>
    </row>
    <row r="504" spans="1:7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">
        <v>29</v>
      </c>
      <c r="F504" s="3" t="s">
        <v>17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">
        <v>9</v>
      </c>
      <c r="F505" s="3" t="s">
        <v>64</v>
      </c>
      <c r="G505" s="3" t="s">
        <v>1614</v>
      </c>
    </row>
    <row r="506" spans="1:7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">
        <v>9</v>
      </c>
      <c r="F506" s="3" t="s">
        <v>64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">
        <v>15</v>
      </c>
      <c r="F507" s="3" t="s">
        <v>14</v>
      </c>
      <c r="G507" s="3" t="s">
        <v>1614</v>
      </c>
    </row>
    <row r="508" spans="1:7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">
        <v>9</v>
      </c>
      <c r="F508" s="3" t="s">
        <v>64</v>
      </c>
      <c r="G508" s="3" t="s">
        <v>1613</v>
      </c>
    </row>
    <row r="509" spans="1:7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">
        <v>9</v>
      </c>
      <c r="F509" s="3" t="s">
        <v>64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">
        <v>53</v>
      </c>
      <c r="F510" s="3" t="s">
        <v>53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">
        <v>33</v>
      </c>
      <c r="F511" s="3">
        <v>0</v>
      </c>
      <c r="G511" s="3" t="s">
        <v>1614</v>
      </c>
    </row>
    <row r="512" spans="1:7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">
        <v>9</v>
      </c>
      <c r="F512" s="3" t="s">
        <v>64</v>
      </c>
      <c r="G512" s="3" t="s">
        <v>1617</v>
      </c>
    </row>
    <row r="513" spans="1:7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">
        <v>38</v>
      </c>
      <c r="F513" s="3" t="s">
        <v>69</v>
      </c>
      <c r="G513" s="3" t="s">
        <v>1615</v>
      </c>
    </row>
    <row r="514" spans="1:7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">
        <v>25</v>
      </c>
      <c r="F514" s="3" t="s">
        <v>66</v>
      </c>
      <c r="G514" s="3" t="s">
        <v>1617</v>
      </c>
    </row>
    <row r="515" spans="1:7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">
        <v>9</v>
      </c>
      <c r="F515" s="3" t="s">
        <v>64</v>
      </c>
      <c r="G515" s="3" t="s">
        <v>1615</v>
      </c>
    </row>
    <row r="516" spans="1:7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">
        <v>47</v>
      </c>
      <c r="F516" s="3" t="s">
        <v>46</v>
      </c>
      <c r="G516" s="3" t="s">
        <v>1615</v>
      </c>
    </row>
    <row r="517" spans="1:7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">
        <v>43</v>
      </c>
      <c r="F517" s="3" t="s">
        <v>70</v>
      </c>
      <c r="G517" s="3" t="s">
        <v>1613</v>
      </c>
    </row>
    <row r="518" spans="1:7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">
        <v>19</v>
      </c>
      <c r="F518" s="3" t="s">
        <v>18</v>
      </c>
      <c r="G518" s="3" t="s">
        <v>1615</v>
      </c>
    </row>
    <row r="519" spans="1:7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">
        <v>19</v>
      </c>
      <c r="F519" s="3" t="s">
        <v>18</v>
      </c>
      <c r="G519" s="3" t="s">
        <v>1617</v>
      </c>
    </row>
    <row r="520" spans="1:7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">
        <v>15</v>
      </c>
      <c r="F520" s="3" t="s">
        <v>14</v>
      </c>
      <c r="G520" s="3" t="s">
        <v>1617</v>
      </c>
    </row>
    <row r="521" spans="1:7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">
        <v>15</v>
      </c>
      <c r="F521" s="3" t="s">
        <v>14</v>
      </c>
      <c r="G521" s="3" t="s">
        <v>1615</v>
      </c>
    </row>
    <row r="522" spans="1:7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">
        <v>40</v>
      </c>
      <c r="F522" s="3" t="s">
        <v>39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">
        <v>29</v>
      </c>
      <c r="F523" s="3" t="s">
        <v>17</v>
      </c>
      <c r="G523" s="3" t="s">
        <v>1614</v>
      </c>
    </row>
    <row r="524" spans="1:7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">
        <v>43</v>
      </c>
      <c r="F524" s="3" t="s">
        <v>70</v>
      </c>
      <c r="G524" s="3" t="s">
        <v>1615</v>
      </c>
    </row>
    <row r="525" spans="1:7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">
        <v>15</v>
      </c>
      <c r="F525" s="3" t="s">
        <v>14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">
        <v>29</v>
      </c>
      <c r="F526" s="3" t="s">
        <v>17</v>
      </c>
      <c r="G526" s="3" t="s">
        <v>1614</v>
      </c>
    </row>
    <row r="527" spans="1:7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">
        <v>40</v>
      </c>
      <c r="F527" s="3" t="s">
        <v>39</v>
      </c>
      <c r="G527" s="3" t="s">
        <v>1617</v>
      </c>
    </row>
    <row r="528" spans="1:7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">
        <v>15</v>
      </c>
      <c r="F528" s="3" t="s">
        <v>14</v>
      </c>
      <c r="G528" s="3" t="s">
        <v>1617</v>
      </c>
    </row>
    <row r="529" spans="1:7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">
        <v>15</v>
      </c>
      <c r="F529" s="3" t="s">
        <v>14</v>
      </c>
      <c r="G529" s="3" t="s">
        <v>1617</v>
      </c>
    </row>
    <row r="530" spans="1:7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">
        <v>9</v>
      </c>
      <c r="F530" s="3" t="s">
        <v>64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">
        <v>40</v>
      </c>
      <c r="F531" s="3" t="s">
        <v>39</v>
      </c>
      <c r="G531" s="3" t="s">
        <v>1614</v>
      </c>
    </row>
    <row r="532" spans="1:7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">
        <v>9</v>
      </c>
      <c r="F532" s="3" t="s">
        <v>64</v>
      </c>
      <c r="G532" s="3" t="s">
        <v>1617</v>
      </c>
    </row>
    <row r="533" spans="1:7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">
        <v>45</v>
      </c>
      <c r="F533" s="3" t="s">
        <v>71</v>
      </c>
      <c r="G533" s="3" t="s">
        <v>1615</v>
      </c>
    </row>
    <row r="534" spans="1:7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">
        <v>23</v>
      </c>
      <c r="F534" s="3" t="s">
        <v>65</v>
      </c>
      <c r="G534" s="3" t="s">
        <v>1615</v>
      </c>
    </row>
    <row r="535" spans="1:7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">
        <v>45</v>
      </c>
      <c r="F535" s="3" t="s">
        <v>71</v>
      </c>
      <c r="G535" s="3" t="s">
        <v>1617</v>
      </c>
    </row>
    <row r="536" spans="1:7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">
        <v>43</v>
      </c>
      <c r="F536" s="3" t="s">
        <v>70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">
        <v>47</v>
      </c>
      <c r="F537" s="3" t="s">
        <v>46</v>
      </c>
      <c r="G537" s="3" t="s">
        <v>1614</v>
      </c>
    </row>
    <row r="538" spans="1:7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">
        <v>33</v>
      </c>
      <c r="F538" s="3">
        <v>0</v>
      </c>
      <c r="G538" s="3" t="s">
        <v>1617</v>
      </c>
    </row>
    <row r="539" spans="1:7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">
        <v>15</v>
      </c>
      <c r="F539" s="3" t="s">
        <v>14</v>
      </c>
      <c r="G539" s="3" t="s">
        <v>1617</v>
      </c>
    </row>
    <row r="540" spans="1:7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">
        <v>23</v>
      </c>
      <c r="F540" s="3" t="s">
        <v>65</v>
      </c>
      <c r="G540" s="3" t="s">
        <v>1613</v>
      </c>
    </row>
    <row r="541" spans="1:7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">
        <v>47</v>
      </c>
      <c r="F541" s="3" t="s">
        <v>46</v>
      </c>
      <c r="G541" s="3" t="s">
        <v>1613</v>
      </c>
    </row>
    <row r="542" spans="1:7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">
        <v>47</v>
      </c>
      <c r="F542" s="3" t="s">
        <v>46</v>
      </c>
      <c r="G542" s="3" t="s">
        <v>1615</v>
      </c>
    </row>
    <row r="543" spans="1:7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">
        <v>25</v>
      </c>
      <c r="F543" s="3" t="s">
        <v>66</v>
      </c>
      <c r="G543" s="3" t="s">
        <v>1615</v>
      </c>
    </row>
    <row r="544" spans="1:7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">
        <v>9</v>
      </c>
      <c r="F544" s="3" t="s">
        <v>64</v>
      </c>
      <c r="G544" s="3" t="s">
        <v>1613</v>
      </c>
    </row>
    <row r="545" spans="1:7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">
        <v>40</v>
      </c>
      <c r="F545" s="3" t="s">
        <v>39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">
        <v>53</v>
      </c>
      <c r="F546" s="3" t="s">
        <v>53</v>
      </c>
      <c r="G546" s="3" t="s">
        <v>1614</v>
      </c>
    </row>
    <row r="547" spans="1:7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">
        <v>9</v>
      </c>
      <c r="F547" s="3" t="s">
        <v>64</v>
      </c>
      <c r="G547" s="3" t="s">
        <v>1613</v>
      </c>
    </row>
    <row r="548" spans="1:7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">
        <v>25</v>
      </c>
      <c r="F548" s="3" t="s">
        <v>66</v>
      </c>
      <c r="G548" s="3" t="s">
        <v>1613</v>
      </c>
    </row>
    <row r="549" spans="1:7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">
        <v>9</v>
      </c>
      <c r="F549" s="3" t="s">
        <v>64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">
        <v>49</v>
      </c>
      <c r="F550" s="3" t="s">
        <v>48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">
        <v>38</v>
      </c>
      <c r="F551" s="3" t="s">
        <v>69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">
        <v>60</v>
      </c>
      <c r="F552" s="3" t="s">
        <v>60</v>
      </c>
      <c r="G552" s="3" t="s">
        <v>1616</v>
      </c>
    </row>
    <row r="553" spans="1:7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">
        <v>19</v>
      </c>
      <c r="F553" s="3" t="s">
        <v>18</v>
      </c>
      <c r="G553" s="3" t="s">
        <v>1617</v>
      </c>
    </row>
    <row r="554" spans="1:7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">
        <v>25</v>
      </c>
      <c r="F554" s="3" t="s">
        <v>66</v>
      </c>
      <c r="G554" s="3" t="s">
        <v>1617</v>
      </c>
    </row>
    <row r="555" spans="1:7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">
        <v>25</v>
      </c>
      <c r="F555" s="3" t="s">
        <v>66</v>
      </c>
      <c r="G555" s="3" t="s">
        <v>1615</v>
      </c>
    </row>
    <row r="556" spans="1:7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">
        <v>9</v>
      </c>
      <c r="F556" s="3" t="s">
        <v>64</v>
      </c>
      <c r="G556" s="3" t="s">
        <v>1615</v>
      </c>
    </row>
    <row r="557" spans="1:7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">
        <v>33</v>
      </c>
      <c r="F557" s="3">
        <v>0</v>
      </c>
      <c r="G557" s="3" t="s">
        <v>1617</v>
      </c>
    </row>
    <row r="558" spans="1:7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">
        <v>33</v>
      </c>
      <c r="F558" s="3">
        <v>0</v>
      </c>
      <c r="G558" s="3" t="s">
        <v>1617</v>
      </c>
    </row>
    <row r="559" spans="1:7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">
        <v>57</v>
      </c>
      <c r="F559" s="3" t="s">
        <v>72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">
        <v>43</v>
      </c>
      <c r="F560" s="3" t="s">
        <v>70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">
        <v>21</v>
      </c>
      <c r="F561" s="3" t="s">
        <v>21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">
        <v>49</v>
      </c>
      <c r="F562" s="3" t="s">
        <v>48</v>
      </c>
      <c r="G562" s="3" t="s">
        <v>1614</v>
      </c>
    </row>
    <row r="563" spans="1:7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">
        <v>9</v>
      </c>
      <c r="F563" s="3" t="s">
        <v>64</v>
      </c>
      <c r="G563" s="3" t="s">
        <v>1615</v>
      </c>
    </row>
    <row r="564" spans="1:7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">
        <v>29</v>
      </c>
      <c r="F564" s="3" t="s">
        <v>17</v>
      </c>
      <c r="G564" s="3" t="s">
        <v>1617</v>
      </c>
    </row>
    <row r="565" spans="1:7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">
        <v>15</v>
      </c>
      <c r="F565" s="3" t="s">
        <v>14</v>
      </c>
      <c r="G565" s="3" t="s">
        <v>1617</v>
      </c>
    </row>
    <row r="566" spans="1:7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">
        <v>25</v>
      </c>
      <c r="F566" s="3" t="s">
        <v>66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">
        <v>43</v>
      </c>
      <c r="F567" s="3" t="s">
        <v>70</v>
      </c>
      <c r="G567" s="3" t="s">
        <v>1614</v>
      </c>
    </row>
    <row r="568" spans="1:7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">
        <v>29</v>
      </c>
      <c r="F568" s="3" t="s">
        <v>17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">
        <v>15</v>
      </c>
      <c r="F569" s="3" t="s">
        <v>14</v>
      </c>
      <c r="G569" s="3" t="s">
        <v>1614</v>
      </c>
    </row>
    <row r="570" spans="1:7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">
        <v>9</v>
      </c>
      <c r="F570" s="3" t="s">
        <v>64</v>
      </c>
      <c r="G570" s="3" t="s">
        <v>1615</v>
      </c>
    </row>
    <row r="571" spans="1:7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">
        <v>27</v>
      </c>
      <c r="F571" s="3" t="s">
        <v>67</v>
      </c>
      <c r="G571" s="3" t="s">
        <v>1617</v>
      </c>
    </row>
    <row r="572" spans="1:7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">
        <v>45</v>
      </c>
      <c r="F572" s="3" t="s">
        <v>71</v>
      </c>
      <c r="G572" s="3" t="s">
        <v>1615</v>
      </c>
    </row>
    <row r="573" spans="1:7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">
        <v>19</v>
      </c>
      <c r="F573" s="3" t="s">
        <v>18</v>
      </c>
      <c r="G573" s="3" t="s">
        <v>1617</v>
      </c>
    </row>
    <row r="574" spans="1:7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">
        <v>29</v>
      </c>
      <c r="F574" s="3" t="s">
        <v>17</v>
      </c>
      <c r="G574" s="3" t="s">
        <v>1617</v>
      </c>
    </row>
    <row r="575" spans="1:7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">
        <v>9</v>
      </c>
      <c r="F575" s="3" t="s">
        <v>64</v>
      </c>
      <c r="G575" s="3" t="s">
        <v>1613</v>
      </c>
    </row>
    <row r="576" spans="1:7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">
        <v>43</v>
      </c>
      <c r="F576" s="3" t="s">
        <v>70</v>
      </c>
      <c r="G576" s="3" t="s">
        <v>1613</v>
      </c>
    </row>
    <row r="577" spans="1:7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">
        <v>29</v>
      </c>
      <c r="F577" s="3" t="s">
        <v>17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">
        <v>21</v>
      </c>
      <c r="F578" s="3" t="s">
        <v>21</v>
      </c>
      <c r="G578" s="3" t="s">
        <v>1616</v>
      </c>
    </row>
    <row r="579" spans="1:7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">
        <v>19</v>
      </c>
      <c r="F579" s="3" t="s">
        <v>18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">
        <v>40</v>
      </c>
      <c r="F580" s="3" t="s">
        <v>39</v>
      </c>
      <c r="G580" s="3" t="s">
        <v>1616</v>
      </c>
    </row>
    <row r="581" spans="1:7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">
        <v>9</v>
      </c>
      <c r="F581" s="3" t="s">
        <v>64</v>
      </c>
      <c r="G581" s="3" t="s">
        <v>1617</v>
      </c>
    </row>
    <row r="582" spans="1:7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">
        <v>9</v>
      </c>
      <c r="F582" s="3" t="s">
        <v>64</v>
      </c>
      <c r="G582" s="3" t="s">
        <v>1613</v>
      </c>
    </row>
    <row r="583" spans="1:7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">
        <v>43</v>
      </c>
      <c r="F583" s="3" t="s">
        <v>70</v>
      </c>
      <c r="G583" s="3" t="s">
        <v>1615</v>
      </c>
    </row>
    <row r="584" spans="1:7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">
        <v>43</v>
      </c>
      <c r="F584" s="3" t="s">
        <v>70</v>
      </c>
      <c r="G584" s="3" t="s">
        <v>1615</v>
      </c>
    </row>
    <row r="585" spans="1:7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">
        <v>45</v>
      </c>
      <c r="F585" s="3" t="s">
        <v>71</v>
      </c>
      <c r="G585" s="3" t="s">
        <v>1617</v>
      </c>
    </row>
    <row r="586" spans="1:7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">
        <v>43</v>
      </c>
      <c r="F586" s="3" t="s">
        <v>70</v>
      </c>
      <c r="G586" s="3" t="s">
        <v>1617</v>
      </c>
    </row>
    <row r="587" spans="1:7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">
        <v>25</v>
      </c>
      <c r="F587" s="3" t="s">
        <v>66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">
        <v>19</v>
      </c>
      <c r="F588" s="3" t="s">
        <v>18</v>
      </c>
      <c r="G588" s="3" t="s">
        <v>1614</v>
      </c>
    </row>
    <row r="589" spans="1:7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">
        <v>9</v>
      </c>
      <c r="F589" s="3" t="s">
        <v>64</v>
      </c>
      <c r="G589" s="3" t="s">
        <v>1615</v>
      </c>
    </row>
    <row r="590" spans="1:7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">
        <v>9</v>
      </c>
      <c r="F590" s="3" t="s">
        <v>64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">
        <v>29</v>
      </c>
      <c r="F591" s="3" t="s">
        <v>17</v>
      </c>
      <c r="G591" s="3" t="s">
        <v>1614</v>
      </c>
    </row>
    <row r="592" spans="1:7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">
        <v>38</v>
      </c>
      <c r="F592" s="3" t="s">
        <v>69</v>
      </c>
      <c r="G592" s="3" t="s">
        <v>1615</v>
      </c>
    </row>
    <row r="593" spans="1:7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">
        <v>11</v>
      </c>
      <c r="F593" s="3" t="s">
        <v>10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">
        <v>45</v>
      </c>
      <c r="F594" s="3" t="s">
        <v>71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">
        <v>21</v>
      </c>
      <c r="F595" s="3" t="s">
        <v>21</v>
      </c>
      <c r="G595" s="3" t="s">
        <v>1616</v>
      </c>
    </row>
    <row r="596" spans="1:7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">
        <v>25</v>
      </c>
      <c r="F596" s="3" t="s">
        <v>66</v>
      </c>
      <c r="G596" s="3" t="s">
        <v>1615</v>
      </c>
    </row>
    <row r="597" spans="1:7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">
        <v>43</v>
      </c>
      <c r="F597" s="3" t="s">
        <v>70</v>
      </c>
      <c r="G597" s="3" t="s">
        <v>1615</v>
      </c>
    </row>
    <row r="598" spans="1:7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">
        <v>9</v>
      </c>
      <c r="F598" s="3" t="s">
        <v>64</v>
      </c>
      <c r="G598" s="3" t="s">
        <v>1617</v>
      </c>
    </row>
    <row r="599" spans="1:7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">
        <v>25</v>
      </c>
      <c r="F599" s="3" t="s">
        <v>66</v>
      </c>
      <c r="G599" s="3" t="s">
        <v>1617</v>
      </c>
    </row>
    <row r="600" spans="1:7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">
        <v>11</v>
      </c>
      <c r="F600" s="3" t="s">
        <v>10</v>
      </c>
      <c r="G600" s="3" t="s">
        <v>1617</v>
      </c>
    </row>
    <row r="601" spans="1:7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">
        <v>9</v>
      </c>
      <c r="F601" s="3" t="s">
        <v>64</v>
      </c>
      <c r="G601" s="3" t="s">
        <v>1617</v>
      </c>
    </row>
    <row r="602" spans="1:7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">
        <v>38</v>
      </c>
      <c r="F602" s="3" t="s">
        <v>69</v>
      </c>
      <c r="G602" s="3" t="s">
        <v>1617</v>
      </c>
    </row>
    <row r="603" spans="1:7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">
        <v>9</v>
      </c>
      <c r="F603" s="3" t="s">
        <v>64</v>
      </c>
      <c r="G603" s="3" t="s">
        <v>1617</v>
      </c>
    </row>
    <row r="604" spans="1:7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">
        <v>9</v>
      </c>
      <c r="F604" s="3" t="s">
        <v>64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">
        <v>49</v>
      </c>
      <c r="F605" s="3" t="s">
        <v>48</v>
      </c>
      <c r="G605" s="3" t="s">
        <v>1614</v>
      </c>
    </row>
    <row r="606" spans="1:7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">
        <v>25</v>
      </c>
      <c r="F606" s="3" t="s">
        <v>66</v>
      </c>
      <c r="G606" s="3" t="s">
        <v>1613</v>
      </c>
    </row>
    <row r="607" spans="1:7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">
        <v>27</v>
      </c>
      <c r="F607" s="3" t="s">
        <v>67</v>
      </c>
      <c r="G607" s="3" t="s">
        <v>1617</v>
      </c>
    </row>
    <row r="608" spans="1:7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">
        <v>23</v>
      </c>
      <c r="F608" s="3" t="s">
        <v>65</v>
      </c>
      <c r="G608" s="3" t="s">
        <v>1613</v>
      </c>
    </row>
    <row r="609" spans="1:7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">
        <v>43</v>
      </c>
      <c r="F609" s="3" t="s">
        <v>70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">
        <v>29</v>
      </c>
      <c r="F610" s="3" t="s">
        <v>17</v>
      </c>
      <c r="G610" s="3" t="s">
        <v>1614</v>
      </c>
    </row>
    <row r="611" spans="1:7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">
        <v>27</v>
      </c>
      <c r="F611" s="3" t="s">
        <v>67</v>
      </c>
      <c r="G611" s="3" t="s">
        <v>1617</v>
      </c>
    </row>
    <row r="612" spans="1:7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">
        <v>9</v>
      </c>
      <c r="F612" s="3" t="s">
        <v>64</v>
      </c>
      <c r="G612" s="3" t="s">
        <v>1613</v>
      </c>
    </row>
    <row r="613" spans="1:7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">
        <v>47</v>
      </c>
      <c r="F613" s="3" t="s">
        <v>46</v>
      </c>
      <c r="G613" s="3" t="s">
        <v>1615</v>
      </c>
    </row>
    <row r="614" spans="1:7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">
        <v>15</v>
      </c>
      <c r="F614" s="3" t="s">
        <v>14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">
        <v>19</v>
      </c>
      <c r="F615" s="3" t="s">
        <v>18</v>
      </c>
      <c r="G615" s="3" t="s">
        <v>1616</v>
      </c>
    </row>
    <row r="616" spans="1:7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">
        <v>25</v>
      </c>
      <c r="F616" s="3" t="s">
        <v>66</v>
      </c>
      <c r="G616" s="3" t="s">
        <v>1615</v>
      </c>
    </row>
    <row r="617" spans="1:7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">
        <v>15</v>
      </c>
      <c r="F617" s="3" t="s">
        <v>14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">
        <v>33</v>
      </c>
      <c r="F618" s="3">
        <v>0</v>
      </c>
      <c r="G618" s="3" t="s">
        <v>1614</v>
      </c>
    </row>
    <row r="619" spans="1:7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">
        <v>25</v>
      </c>
      <c r="F619" s="3" t="s">
        <v>66</v>
      </c>
      <c r="G619" s="3" t="s">
        <v>1615</v>
      </c>
    </row>
    <row r="620" spans="1:7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">
        <v>43</v>
      </c>
      <c r="F620" s="3" t="s">
        <v>70</v>
      </c>
      <c r="G620" s="3" t="s">
        <v>1615</v>
      </c>
    </row>
    <row r="621" spans="1:7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">
        <v>43</v>
      </c>
      <c r="F621" s="3" t="s">
        <v>70</v>
      </c>
      <c r="G621" s="3" t="s">
        <v>1613</v>
      </c>
    </row>
    <row r="622" spans="1:7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">
        <v>43</v>
      </c>
      <c r="F622" s="3" t="s">
        <v>70</v>
      </c>
      <c r="G622" s="3" t="s">
        <v>1613</v>
      </c>
    </row>
    <row r="623" spans="1:7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">
        <v>9</v>
      </c>
      <c r="F623" s="3" t="s">
        <v>64</v>
      </c>
      <c r="G623" s="3" t="s">
        <v>1613</v>
      </c>
    </row>
    <row r="624" spans="1:7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">
        <v>43</v>
      </c>
      <c r="F624" s="3" t="s">
        <v>70</v>
      </c>
      <c r="G624" s="3" t="s">
        <v>1615</v>
      </c>
    </row>
    <row r="625" spans="1:7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">
        <v>9</v>
      </c>
      <c r="F625" s="3" t="s">
        <v>64</v>
      </c>
      <c r="G625" s="3" t="s">
        <v>1613</v>
      </c>
    </row>
    <row r="626" spans="1:7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">
        <v>9</v>
      </c>
      <c r="F626" s="3" t="s">
        <v>64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">
        <v>29</v>
      </c>
      <c r="F627" s="3" t="s">
        <v>17</v>
      </c>
      <c r="G627" s="3" t="s">
        <v>1614</v>
      </c>
    </row>
    <row r="628" spans="1:7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">
        <v>9</v>
      </c>
      <c r="F628" s="3" t="s">
        <v>64</v>
      </c>
      <c r="G628" s="3" t="s">
        <v>1617</v>
      </c>
    </row>
    <row r="629" spans="1:7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">
        <v>9</v>
      </c>
      <c r="F629" s="3" t="s">
        <v>64</v>
      </c>
      <c r="G629" s="3" t="s">
        <v>1615</v>
      </c>
    </row>
    <row r="630" spans="1:7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">
        <v>19</v>
      </c>
      <c r="F630" s="3" t="s">
        <v>18</v>
      </c>
      <c r="G630" s="3" t="s">
        <v>1617</v>
      </c>
    </row>
    <row r="631" spans="1:7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">
        <v>25</v>
      </c>
      <c r="F631" s="3" t="s">
        <v>66</v>
      </c>
      <c r="G631" s="3" t="s">
        <v>1613</v>
      </c>
    </row>
    <row r="632" spans="1:7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">
        <v>36</v>
      </c>
      <c r="F632" s="3" t="s">
        <v>68</v>
      </c>
      <c r="G632" s="3" t="s">
        <v>1617</v>
      </c>
    </row>
    <row r="633" spans="1:7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">
        <v>33</v>
      </c>
      <c r="F633" s="3">
        <v>0</v>
      </c>
      <c r="G633" s="3" t="s">
        <v>1617</v>
      </c>
    </row>
    <row r="634" spans="1:7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">
        <v>15</v>
      </c>
      <c r="F634" s="3" t="s">
        <v>14</v>
      </c>
      <c r="G634" s="3" t="s">
        <v>1615</v>
      </c>
    </row>
    <row r="635" spans="1:7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">
        <v>40</v>
      </c>
      <c r="F635" s="3" t="s">
        <v>39</v>
      </c>
      <c r="G635" s="3" t="s">
        <v>1615</v>
      </c>
    </row>
    <row r="636" spans="1:7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">
        <v>47</v>
      </c>
      <c r="F636" s="3" t="s">
        <v>46</v>
      </c>
      <c r="G636" s="3" t="s">
        <v>1615</v>
      </c>
    </row>
    <row r="637" spans="1:7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">
        <v>38</v>
      </c>
      <c r="F637" s="3" t="s">
        <v>69</v>
      </c>
      <c r="G637" s="3" t="s">
        <v>1615</v>
      </c>
    </row>
    <row r="638" spans="1:7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">
        <v>9</v>
      </c>
      <c r="F638" s="3" t="s">
        <v>64</v>
      </c>
      <c r="G638" s="3" t="s">
        <v>1613</v>
      </c>
    </row>
    <row r="639" spans="1:7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">
        <v>9</v>
      </c>
      <c r="F639" s="3" t="s">
        <v>64</v>
      </c>
      <c r="G639" s="3" t="s">
        <v>1613</v>
      </c>
    </row>
    <row r="640" spans="1:7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">
        <v>9</v>
      </c>
      <c r="F640" s="3" t="s">
        <v>64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">
        <v>43</v>
      </c>
      <c r="F641" s="3" t="s">
        <v>70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">
        <v>52</v>
      </c>
      <c r="F642" s="3" t="s">
        <v>51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">
        <v>25</v>
      </c>
      <c r="F643" s="3" t="s">
        <v>66</v>
      </c>
      <c r="G643" s="3" t="s">
        <v>1616</v>
      </c>
    </row>
    <row r="644" spans="1:7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">
        <v>43</v>
      </c>
      <c r="F644" s="3" t="s">
        <v>70</v>
      </c>
      <c r="G644" s="3" t="s">
        <v>1615</v>
      </c>
    </row>
    <row r="645" spans="1:7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">
        <v>9</v>
      </c>
      <c r="F645" s="3" t="s">
        <v>64</v>
      </c>
      <c r="G645" s="3" t="s">
        <v>1615</v>
      </c>
    </row>
    <row r="646" spans="1:7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">
        <v>43</v>
      </c>
      <c r="F646" s="3" t="s">
        <v>70</v>
      </c>
      <c r="G646" s="3" t="s">
        <v>1613</v>
      </c>
    </row>
    <row r="647" spans="1:7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">
        <v>9</v>
      </c>
      <c r="F647" s="3" t="s">
        <v>64</v>
      </c>
      <c r="G647" s="3" t="s">
        <v>1617</v>
      </c>
    </row>
    <row r="648" spans="1:7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">
        <v>38</v>
      </c>
      <c r="F648" s="3" t="s">
        <v>69</v>
      </c>
      <c r="G648" s="3" t="s">
        <v>1613</v>
      </c>
    </row>
    <row r="649" spans="1:7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">
        <v>19</v>
      </c>
      <c r="F649" s="3" t="s">
        <v>18</v>
      </c>
      <c r="G649" s="3" t="s">
        <v>1615</v>
      </c>
    </row>
    <row r="650" spans="1:7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">
        <v>9</v>
      </c>
      <c r="F650" s="3" t="s">
        <v>64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">
        <v>19</v>
      </c>
      <c r="F651" s="3" t="s">
        <v>18</v>
      </c>
      <c r="G651" s="3" t="s">
        <v>1616</v>
      </c>
    </row>
    <row r="652" spans="1:7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">
        <v>25</v>
      </c>
      <c r="F652" s="3" t="s">
        <v>66</v>
      </c>
      <c r="G652" s="3" t="s">
        <v>1617</v>
      </c>
    </row>
    <row r="653" spans="1:7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">
        <v>9</v>
      </c>
      <c r="F653" s="3" t="s">
        <v>64</v>
      </c>
      <c r="G653" s="3" t="s">
        <v>1613</v>
      </c>
    </row>
    <row r="654" spans="1:7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">
        <v>57</v>
      </c>
      <c r="F654" s="3" t="s">
        <v>72</v>
      </c>
      <c r="G654" s="3" t="s">
        <v>1615</v>
      </c>
    </row>
    <row r="655" spans="1:7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">
        <v>9</v>
      </c>
      <c r="F655" s="3" t="s">
        <v>64</v>
      </c>
      <c r="G655" s="3" t="s">
        <v>1613</v>
      </c>
    </row>
    <row r="656" spans="1:7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">
        <v>25</v>
      </c>
      <c r="F656" s="3" t="s">
        <v>66</v>
      </c>
      <c r="G656" s="3" t="s">
        <v>1617</v>
      </c>
    </row>
    <row r="657" spans="1:7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">
        <v>9</v>
      </c>
      <c r="F657" s="3" t="s">
        <v>64</v>
      </c>
      <c r="G657" s="3" t="s">
        <v>1615</v>
      </c>
    </row>
    <row r="658" spans="1:7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">
        <v>33</v>
      </c>
      <c r="F658" s="3">
        <v>0</v>
      </c>
      <c r="G658" s="3" t="s">
        <v>1617</v>
      </c>
    </row>
    <row r="659" spans="1:7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">
        <v>33</v>
      </c>
      <c r="F659" s="3">
        <v>0</v>
      </c>
      <c r="G659" s="3" t="s">
        <v>1617</v>
      </c>
    </row>
    <row r="660" spans="1:7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">
        <v>25</v>
      </c>
      <c r="F660" s="3" t="s">
        <v>66</v>
      </c>
      <c r="G660" s="3" t="s">
        <v>1617</v>
      </c>
    </row>
    <row r="661" spans="1:7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">
        <v>33</v>
      </c>
      <c r="F661" s="3">
        <v>0</v>
      </c>
      <c r="G661" s="3" t="s">
        <v>1617</v>
      </c>
    </row>
    <row r="662" spans="1:7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">
        <v>43</v>
      </c>
      <c r="F662" s="3" t="s">
        <v>70</v>
      </c>
      <c r="G662" s="3" t="s">
        <v>1617</v>
      </c>
    </row>
    <row r="663" spans="1:7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">
        <v>25</v>
      </c>
      <c r="F663" s="3" t="s">
        <v>66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">
        <v>19</v>
      </c>
      <c r="F664" s="3" t="s">
        <v>18</v>
      </c>
      <c r="G664" s="3" t="s">
        <v>1616</v>
      </c>
    </row>
    <row r="665" spans="1:7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">
        <v>9</v>
      </c>
      <c r="F665" s="3" t="s">
        <v>64</v>
      </c>
      <c r="G665" s="3" t="s">
        <v>1617</v>
      </c>
    </row>
    <row r="666" spans="1:7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">
        <v>45</v>
      </c>
      <c r="F666" s="3" t="s">
        <v>71</v>
      </c>
      <c r="G666" s="3" t="s">
        <v>1617</v>
      </c>
    </row>
    <row r="667" spans="1:7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">
        <v>33</v>
      </c>
      <c r="F667" s="3">
        <v>0</v>
      </c>
      <c r="G667" s="3" t="s">
        <v>1617</v>
      </c>
    </row>
    <row r="668" spans="1:7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">
        <v>9</v>
      </c>
      <c r="F668" s="3" t="s">
        <v>64</v>
      </c>
      <c r="G668" s="3" t="s">
        <v>1615</v>
      </c>
    </row>
    <row r="669" spans="1:7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">
        <v>33</v>
      </c>
      <c r="F669" s="3">
        <v>0</v>
      </c>
      <c r="G669" s="3" t="s">
        <v>1615</v>
      </c>
    </row>
    <row r="670" spans="1:7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">
        <v>15</v>
      </c>
      <c r="F670" s="3" t="s">
        <v>14</v>
      </c>
      <c r="G670" s="3" t="s">
        <v>1615</v>
      </c>
    </row>
    <row r="671" spans="1:7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">
        <v>47</v>
      </c>
      <c r="F671" s="3" t="s">
        <v>46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">
        <v>29</v>
      </c>
      <c r="F672" s="3" t="s">
        <v>17</v>
      </c>
      <c r="G672" s="3" t="s">
        <v>1614</v>
      </c>
    </row>
    <row r="673" spans="1:7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">
        <v>25</v>
      </c>
      <c r="F673" s="3" t="s">
        <v>66</v>
      </c>
      <c r="G673" s="3" t="s">
        <v>1615</v>
      </c>
    </row>
    <row r="674" spans="1:7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">
        <v>9</v>
      </c>
      <c r="F674" s="3" t="s">
        <v>64</v>
      </c>
      <c r="G674" s="3" t="s">
        <v>1613</v>
      </c>
    </row>
    <row r="675" spans="1:7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">
        <v>9</v>
      </c>
      <c r="F675" s="3" t="s">
        <v>64</v>
      </c>
      <c r="G675" s="3" t="s">
        <v>1613</v>
      </c>
    </row>
    <row r="676" spans="1:7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">
        <v>40</v>
      </c>
      <c r="F676" s="3" t="s">
        <v>39</v>
      </c>
      <c r="G676" s="3" t="s">
        <v>1615</v>
      </c>
    </row>
    <row r="677" spans="1:7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">
        <v>43</v>
      </c>
      <c r="F677" s="3" t="s">
        <v>70</v>
      </c>
      <c r="G677" s="3" t="s">
        <v>1617</v>
      </c>
    </row>
    <row r="678" spans="1:7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">
        <v>15</v>
      </c>
      <c r="F678" s="3" t="s">
        <v>14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">
        <v>43</v>
      </c>
      <c r="F679" s="3" t="s">
        <v>70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">
        <v>29</v>
      </c>
      <c r="F680" s="3" t="s">
        <v>17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">
        <v>33</v>
      </c>
      <c r="F681" s="3">
        <v>0</v>
      </c>
      <c r="G681" s="3" t="s">
        <v>1616</v>
      </c>
    </row>
    <row r="682" spans="1:7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">
        <v>9</v>
      </c>
      <c r="F682" s="3" t="s">
        <v>64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">
        <v>21</v>
      </c>
      <c r="F683" s="3" t="s">
        <v>21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">
        <v>29</v>
      </c>
      <c r="F684" s="3" t="s">
        <v>17</v>
      </c>
      <c r="G684" s="3" t="s">
        <v>1614</v>
      </c>
    </row>
    <row r="685" spans="1:7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">
        <v>43</v>
      </c>
      <c r="F685" s="3" t="s">
        <v>70</v>
      </c>
      <c r="G685" s="3" t="s">
        <v>1615</v>
      </c>
    </row>
    <row r="686" spans="1:7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">
        <v>33</v>
      </c>
      <c r="F686" s="3">
        <v>0</v>
      </c>
      <c r="G686" s="3" t="s">
        <v>1615</v>
      </c>
    </row>
    <row r="687" spans="1:7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">
        <v>9</v>
      </c>
      <c r="F687" s="3" t="s">
        <v>64</v>
      </c>
      <c r="G687" s="3" t="s">
        <v>1617</v>
      </c>
    </row>
    <row r="688" spans="1:7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">
        <v>9</v>
      </c>
      <c r="F688" s="3" t="s">
        <v>64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">
        <v>49</v>
      </c>
      <c r="F689" s="3" t="s">
        <v>48</v>
      </c>
      <c r="G689" s="3" t="s">
        <v>1614</v>
      </c>
    </row>
    <row r="690" spans="1:7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">
        <v>15</v>
      </c>
      <c r="F690" s="3" t="s">
        <v>14</v>
      </c>
      <c r="G690" s="3" t="s">
        <v>1615</v>
      </c>
    </row>
    <row r="691" spans="1:7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">
        <v>9</v>
      </c>
      <c r="F691" s="3" t="s">
        <v>64</v>
      </c>
      <c r="G691" s="3" t="s">
        <v>1613</v>
      </c>
    </row>
    <row r="692" spans="1:7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">
        <v>9</v>
      </c>
      <c r="F692" s="3" t="s">
        <v>64</v>
      </c>
      <c r="G692" s="3" t="s">
        <v>1613</v>
      </c>
    </row>
    <row r="693" spans="1:7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">
        <v>9</v>
      </c>
      <c r="F693" s="3" t="s">
        <v>64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">
        <v>11</v>
      </c>
      <c r="F694" s="3" t="s">
        <v>10</v>
      </c>
      <c r="G694" s="3" t="s">
        <v>1614</v>
      </c>
    </row>
    <row r="695" spans="1:7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">
        <v>38</v>
      </c>
      <c r="F695" s="3" t="s">
        <v>69</v>
      </c>
      <c r="G695" s="3" t="s">
        <v>1613</v>
      </c>
    </row>
    <row r="696" spans="1:7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">
        <v>45</v>
      </c>
      <c r="F696" s="3" t="s">
        <v>71</v>
      </c>
      <c r="G696" s="3" t="s">
        <v>1615</v>
      </c>
    </row>
    <row r="697" spans="1:7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">
        <v>43</v>
      </c>
      <c r="F697" s="3" t="s">
        <v>70</v>
      </c>
      <c r="G697" s="3" t="s">
        <v>1615</v>
      </c>
    </row>
    <row r="698" spans="1:7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">
        <v>21</v>
      </c>
      <c r="F698" s="3" t="s">
        <v>21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">
        <v>9</v>
      </c>
      <c r="F699" s="3" t="s">
        <v>64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">
        <v>15</v>
      </c>
      <c r="F700" s="3" t="s">
        <v>14</v>
      </c>
      <c r="G700" s="3" t="s">
        <v>1614</v>
      </c>
    </row>
    <row r="701" spans="1:7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">
        <v>9</v>
      </c>
      <c r="F701" s="3" t="s">
        <v>64</v>
      </c>
      <c r="G701" s="3" t="s">
        <v>1615</v>
      </c>
    </row>
    <row r="702" spans="1:7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">
        <v>33</v>
      </c>
      <c r="F702" s="3">
        <v>0</v>
      </c>
      <c r="G702" s="3" t="s">
        <v>1617</v>
      </c>
    </row>
    <row r="703" spans="1:7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">
        <v>25</v>
      </c>
      <c r="F703" s="3" t="s">
        <v>66</v>
      </c>
      <c r="G703" s="3" t="s">
        <v>1615</v>
      </c>
    </row>
    <row r="704" spans="1:7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">
        <v>43</v>
      </c>
      <c r="F704" s="3" t="s">
        <v>70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v>0</v>
      </c>
      <c r="F705" s="3">
        <v>0</v>
      </c>
      <c r="G705" s="3" t="s">
        <v>1614</v>
      </c>
    </row>
    <row r="706" spans="1:7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">
        <v>57</v>
      </c>
      <c r="F706" s="3" t="s">
        <v>72</v>
      </c>
      <c r="G706" s="3" t="s">
        <v>1617</v>
      </c>
    </row>
    <row r="707" spans="1:7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">
        <v>33</v>
      </c>
      <c r="F707" s="3">
        <v>0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">
        <v>29</v>
      </c>
      <c r="F708" s="3" t="s">
        <v>17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">
        <v>43</v>
      </c>
      <c r="F709" s="3" t="s">
        <v>70</v>
      </c>
      <c r="G709" s="3" t="s">
        <v>1616</v>
      </c>
    </row>
    <row r="710" spans="1:7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">
        <v>38</v>
      </c>
      <c r="F710" s="3" t="s">
        <v>69</v>
      </c>
      <c r="G710" s="3" t="s">
        <v>1615</v>
      </c>
    </row>
    <row r="711" spans="1:7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">
        <v>43</v>
      </c>
      <c r="F711" s="3" t="s">
        <v>70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">
        <v>38</v>
      </c>
      <c r="F712" s="3" t="s">
        <v>69</v>
      </c>
      <c r="G712" s="3" t="s">
        <v>1614</v>
      </c>
    </row>
    <row r="713" spans="1:7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">
        <v>38</v>
      </c>
      <c r="F713" s="3" t="s">
        <v>69</v>
      </c>
      <c r="G713" s="3" t="s">
        <v>1615</v>
      </c>
    </row>
    <row r="714" spans="1:7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">
        <v>38</v>
      </c>
      <c r="F714" s="3" t="s">
        <v>69</v>
      </c>
      <c r="G714" s="3" t="s">
        <v>1613</v>
      </c>
    </row>
    <row r="715" spans="1:7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">
        <v>43</v>
      </c>
      <c r="F715" s="3" t="s">
        <v>70</v>
      </c>
      <c r="G715" s="3" t="s">
        <v>1613</v>
      </c>
    </row>
    <row r="716" spans="1:7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">
        <v>9</v>
      </c>
      <c r="F716" s="3" t="s">
        <v>64</v>
      </c>
      <c r="G716" s="3" t="s">
        <v>1615</v>
      </c>
    </row>
    <row r="717" spans="1:7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">
        <v>25</v>
      </c>
      <c r="F717" s="3" t="s">
        <v>66</v>
      </c>
      <c r="G717" s="3" t="s">
        <v>1613</v>
      </c>
    </row>
    <row r="718" spans="1:7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">
        <v>25</v>
      </c>
      <c r="F718" s="3" t="s">
        <v>66</v>
      </c>
      <c r="G718" s="3" t="s">
        <v>1613</v>
      </c>
    </row>
    <row r="719" spans="1:7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">
        <v>19</v>
      </c>
      <c r="F719" s="3" t="s">
        <v>18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">
        <v>31</v>
      </c>
      <c r="F720" s="3" t="s">
        <v>31</v>
      </c>
      <c r="G720" s="3" t="s">
        <v>1614</v>
      </c>
    </row>
    <row r="721" spans="1:7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">
        <v>9</v>
      </c>
      <c r="F721" s="3" t="s">
        <v>64</v>
      </c>
      <c r="G721" s="3" t="s">
        <v>1613</v>
      </c>
    </row>
    <row r="722" spans="1:7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">
        <v>43</v>
      </c>
      <c r="F722" s="3" t="s">
        <v>70</v>
      </c>
      <c r="G722" s="3" t="s">
        <v>1617</v>
      </c>
    </row>
    <row r="723" spans="1:7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">
        <v>15</v>
      </c>
      <c r="F723" s="3" t="s">
        <v>14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">
        <v>11</v>
      </c>
      <c r="F724" s="3" t="s">
        <v>10</v>
      </c>
      <c r="G724" s="3" t="s">
        <v>1616</v>
      </c>
    </row>
    <row r="725" spans="1:7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">
        <v>38</v>
      </c>
      <c r="F725" s="3" t="s">
        <v>69</v>
      </c>
      <c r="G725" s="3" t="s">
        <v>1615</v>
      </c>
    </row>
    <row r="726" spans="1:7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">
        <v>15</v>
      </c>
      <c r="F726" s="3" t="s">
        <v>14</v>
      </c>
      <c r="G726" s="3" t="s">
        <v>1615</v>
      </c>
    </row>
    <row r="727" spans="1:7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">
        <v>15</v>
      </c>
      <c r="F727" s="3" t="s">
        <v>14</v>
      </c>
      <c r="G727" s="3" t="s">
        <v>1617</v>
      </c>
    </row>
    <row r="728" spans="1:7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">
        <v>43</v>
      </c>
      <c r="F728" s="3" t="s">
        <v>70</v>
      </c>
      <c r="G728" s="3" t="s">
        <v>1617</v>
      </c>
    </row>
    <row r="729" spans="1:7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">
        <v>15</v>
      </c>
      <c r="F729" s="3" t="s">
        <v>14</v>
      </c>
      <c r="G729" s="3" t="s">
        <v>1617</v>
      </c>
    </row>
    <row r="730" spans="1:7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">
        <v>15</v>
      </c>
      <c r="F730" s="3" t="s">
        <v>14</v>
      </c>
      <c r="G730" s="3" t="s">
        <v>1615</v>
      </c>
    </row>
    <row r="731" spans="1:7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">
        <v>25</v>
      </c>
      <c r="F731" s="3" t="s">
        <v>66</v>
      </c>
      <c r="G731" s="3" t="s">
        <v>1617</v>
      </c>
    </row>
    <row r="732" spans="1:7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">
        <v>11</v>
      </c>
      <c r="F732" s="3" t="s">
        <v>10</v>
      </c>
      <c r="G732" s="3" t="s">
        <v>1617</v>
      </c>
    </row>
    <row r="733" spans="1:7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">
        <v>21</v>
      </c>
      <c r="F733" s="3" t="s">
        <v>21</v>
      </c>
      <c r="G733" s="3" t="s">
        <v>1617</v>
      </c>
    </row>
    <row r="734" spans="1:7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">
        <v>9</v>
      </c>
      <c r="F734" s="3" t="s">
        <v>64</v>
      </c>
      <c r="G734" s="3" t="s">
        <v>1613</v>
      </c>
    </row>
    <row r="735" spans="1:7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">
        <v>9</v>
      </c>
      <c r="F735" s="3" t="s">
        <v>64</v>
      </c>
      <c r="G735" s="3" t="s">
        <v>1617</v>
      </c>
    </row>
    <row r="736" spans="1:7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">
        <v>47</v>
      </c>
      <c r="F736" s="3" t="s">
        <v>46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">
        <v>47</v>
      </c>
      <c r="F737" s="3" t="s">
        <v>46</v>
      </c>
      <c r="G737" s="3" t="s">
        <v>1614</v>
      </c>
    </row>
    <row r="738" spans="1:7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">
        <v>9</v>
      </c>
      <c r="F738" s="3" t="s">
        <v>64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v>0</v>
      </c>
      <c r="F739" s="3">
        <v>0</v>
      </c>
      <c r="G739" s="3" t="s">
        <v>1614</v>
      </c>
    </row>
    <row r="740" spans="1:7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">
        <v>23</v>
      </c>
      <c r="F740" s="3" t="s">
        <v>65</v>
      </c>
      <c r="G740" s="3" t="s">
        <v>1613</v>
      </c>
    </row>
    <row r="741" spans="1:7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">
        <v>9</v>
      </c>
      <c r="F741" s="3" t="s">
        <v>64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">
        <v>15</v>
      </c>
      <c r="F742" s="3" t="s">
        <v>14</v>
      </c>
      <c r="G742" s="3" t="s">
        <v>1616</v>
      </c>
    </row>
    <row r="743" spans="1:7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">
        <v>25</v>
      </c>
      <c r="F743" s="3" t="s">
        <v>66</v>
      </c>
      <c r="G743" s="3" t="s">
        <v>1617</v>
      </c>
    </row>
    <row r="744" spans="1:7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">
        <v>21</v>
      </c>
      <c r="F744" s="3" t="s">
        <v>21</v>
      </c>
      <c r="G744" s="3" t="s">
        <v>1617</v>
      </c>
    </row>
    <row r="745" spans="1:7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">
        <v>23</v>
      </c>
      <c r="F745" s="3" t="s">
        <v>65</v>
      </c>
      <c r="G745" s="3" t="s">
        <v>1613</v>
      </c>
    </row>
    <row r="746" spans="1:7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">
        <v>9</v>
      </c>
      <c r="F746" s="3" t="s">
        <v>64</v>
      </c>
      <c r="G746" s="3" t="s">
        <v>1617</v>
      </c>
    </row>
    <row r="747" spans="1:7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">
        <v>9</v>
      </c>
      <c r="F747" s="3" t="s">
        <v>64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">
        <v>19</v>
      </c>
      <c r="F748" s="3" t="s">
        <v>18</v>
      </c>
      <c r="G748" s="3" t="s">
        <v>1616</v>
      </c>
    </row>
    <row r="749" spans="1:7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">
        <v>9</v>
      </c>
      <c r="F749" s="3" t="s">
        <v>64</v>
      </c>
      <c r="G749" s="3" t="s">
        <v>1615</v>
      </c>
    </row>
    <row r="750" spans="1:7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">
        <v>45</v>
      </c>
      <c r="F750" s="3" t="s">
        <v>71</v>
      </c>
      <c r="G750" s="3" t="s">
        <v>1617</v>
      </c>
    </row>
    <row r="751" spans="1:7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">
        <v>33</v>
      </c>
      <c r="F751" s="3">
        <v>0</v>
      </c>
      <c r="G751" s="3" t="s">
        <v>1617</v>
      </c>
    </row>
    <row r="752" spans="1:7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">
        <v>15</v>
      </c>
      <c r="F752" s="3" t="s">
        <v>14</v>
      </c>
      <c r="G752" s="3" t="s">
        <v>1615</v>
      </c>
    </row>
    <row r="753" spans="1:7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">
        <v>9</v>
      </c>
      <c r="F753" s="3" t="s">
        <v>64</v>
      </c>
      <c r="G753" s="3" t="s">
        <v>1617</v>
      </c>
    </row>
    <row r="754" spans="1:7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">
        <v>29</v>
      </c>
      <c r="F754" s="3" t="s">
        <v>17</v>
      </c>
      <c r="G754" s="3" t="s">
        <v>1613</v>
      </c>
    </row>
    <row r="755" spans="1:7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">
        <v>33</v>
      </c>
      <c r="F755" s="3">
        <v>0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">
        <v>29</v>
      </c>
      <c r="F756" s="3" t="s">
        <v>17</v>
      </c>
      <c r="G756" s="3" t="s">
        <v>1614</v>
      </c>
    </row>
    <row r="757" spans="1:7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">
        <v>9</v>
      </c>
      <c r="F757" s="3" t="s">
        <v>64</v>
      </c>
      <c r="G757" s="3" t="s">
        <v>1617</v>
      </c>
    </row>
    <row r="758" spans="1:7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">
        <v>38</v>
      </c>
      <c r="F758" s="3" t="s">
        <v>69</v>
      </c>
      <c r="G758" s="3" t="s">
        <v>1615</v>
      </c>
    </row>
    <row r="759" spans="1:7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">
        <v>23</v>
      </c>
      <c r="F759" s="3" t="s">
        <v>65</v>
      </c>
      <c r="G759" s="3" t="s">
        <v>1617</v>
      </c>
    </row>
    <row r="760" spans="1:7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">
        <v>25</v>
      </c>
      <c r="F760" s="3" t="s">
        <v>66</v>
      </c>
      <c r="G760" s="3" t="s">
        <v>1617</v>
      </c>
    </row>
    <row r="761" spans="1:7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">
        <v>19</v>
      </c>
      <c r="F761" s="3" t="s">
        <v>18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">
        <v>31</v>
      </c>
      <c r="F762" s="3" t="s">
        <v>31</v>
      </c>
      <c r="G762" s="3" t="s">
        <v>1614</v>
      </c>
    </row>
    <row r="763" spans="1:7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">
        <v>9</v>
      </c>
      <c r="F763" s="3" t="s">
        <v>64</v>
      </c>
      <c r="G763" s="3" t="s">
        <v>1617</v>
      </c>
    </row>
    <row r="764" spans="1:7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">
        <v>15</v>
      </c>
      <c r="F764" s="3" t="s">
        <v>14</v>
      </c>
      <c r="G764" s="3" t="s">
        <v>1617</v>
      </c>
    </row>
    <row r="765" spans="1:7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">
        <v>25</v>
      </c>
      <c r="F765" s="3" t="s">
        <v>66</v>
      </c>
      <c r="G765" s="3" t="s">
        <v>1617</v>
      </c>
    </row>
    <row r="766" spans="1:7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">
        <v>15</v>
      </c>
      <c r="F766" s="3" t="s">
        <v>14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">
        <v>31</v>
      </c>
      <c r="F767" s="3" t="s">
        <v>31</v>
      </c>
      <c r="G767" s="3" t="s">
        <v>1614</v>
      </c>
    </row>
    <row r="768" spans="1:7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">
        <v>15</v>
      </c>
      <c r="F768" s="3" t="s">
        <v>14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">
        <v>45</v>
      </c>
      <c r="F769" s="3" t="s">
        <v>71</v>
      </c>
      <c r="G769" s="3" t="s">
        <v>1616</v>
      </c>
    </row>
    <row r="770" spans="1:7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">
        <v>19</v>
      </c>
      <c r="F770" s="3" t="s">
        <v>18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v>0</v>
      </c>
      <c r="F771" s="3">
        <v>0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">
        <v>31</v>
      </c>
      <c r="F772" s="3" t="s">
        <v>31</v>
      </c>
      <c r="G772" s="3" t="s">
        <v>1614</v>
      </c>
    </row>
    <row r="773" spans="1:7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">
        <v>9</v>
      </c>
      <c r="F773" s="3" t="s">
        <v>64</v>
      </c>
      <c r="G773" s="3" t="s">
        <v>1615</v>
      </c>
    </row>
    <row r="774" spans="1:7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">
        <v>40</v>
      </c>
      <c r="F774" s="3" t="s">
        <v>39</v>
      </c>
      <c r="G774" s="3" t="s">
        <v>1617</v>
      </c>
    </row>
    <row r="775" spans="1:7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">
        <v>15</v>
      </c>
      <c r="F775" s="3" t="s">
        <v>14</v>
      </c>
      <c r="G775" s="3" t="s">
        <v>1615</v>
      </c>
    </row>
    <row r="776" spans="1:7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">
        <v>19</v>
      </c>
      <c r="F776" s="3" t="s">
        <v>18</v>
      </c>
      <c r="G776" s="3" t="s">
        <v>1615</v>
      </c>
    </row>
    <row r="777" spans="1:7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">
        <v>29</v>
      </c>
      <c r="F777" s="3" t="s">
        <v>17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">
        <v>29</v>
      </c>
      <c r="F778" s="3" t="s">
        <v>17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">
        <v>47</v>
      </c>
      <c r="F779" s="3" t="s">
        <v>46</v>
      </c>
      <c r="G779" s="3" t="s">
        <v>1614</v>
      </c>
    </row>
    <row r="780" spans="1:7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">
        <v>15</v>
      </c>
      <c r="F780" s="3" t="s">
        <v>14</v>
      </c>
      <c r="G780" s="3" t="s">
        <v>1615</v>
      </c>
    </row>
    <row r="781" spans="1:7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">
        <v>23</v>
      </c>
      <c r="F781" s="3" t="s">
        <v>65</v>
      </c>
      <c r="G781" s="3" t="s">
        <v>1617</v>
      </c>
    </row>
    <row r="782" spans="1:7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">
        <v>15</v>
      </c>
      <c r="F782" s="3" t="s">
        <v>14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">
        <v>57</v>
      </c>
      <c r="F783" s="3" t="s">
        <v>72</v>
      </c>
      <c r="G783" s="3" t="s">
        <v>1614</v>
      </c>
    </row>
    <row r="784" spans="1:7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">
        <v>23</v>
      </c>
      <c r="F784" s="3" t="s">
        <v>65</v>
      </c>
      <c r="G784" s="3" t="s">
        <v>1613</v>
      </c>
    </row>
    <row r="785" spans="1:7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">
        <v>9</v>
      </c>
      <c r="F785" s="3" t="s">
        <v>64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">
        <v>49</v>
      </c>
      <c r="F786" s="3" t="s">
        <v>48</v>
      </c>
      <c r="G786" s="3" t="s">
        <v>1614</v>
      </c>
    </row>
    <row r="787" spans="1:7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">
        <v>9</v>
      </c>
      <c r="F787" s="3" t="s">
        <v>64</v>
      </c>
      <c r="G787" s="3" t="s">
        <v>1617</v>
      </c>
    </row>
    <row r="788" spans="1:7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">
        <v>9</v>
      </c>
      <c r="F788" s="3" t="s">
        <v>64</v>
      </c>
      <c r="G788" s="3" t="s">
        <v>1617</v>
      </c>
    </row>
    <row r="789" spans="1:7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">
        <v>9</v>
      </c>
      <c r="F789" s="3" t="s">
        <v>64</v>
      </c>
      <c r="G789" s="3" t="s">
        <v>1613</v>
      </c>
    </row>
    <row r="790" spans="1:7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">
        <v>43</v>
      </c>
      <c r="F790" s="3" t="s">
        <v>70</v>
      </c>
      <c r="G790" s="3" t="s">
        <v>1615</v>
      </c>
    </row>
    <row r="791" spans="1:7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">
        <v>43</v>
      </c>
      <c r="F791" s="3" t="s">
        <v>70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">
        <v>29</v>
      </c>
      <c r="F792" s="3" t="s">
        <v>17</v>
      </c>
      <c r="G792" s="3" t="s">
        <v>1616</v>
      </c>
    </row>
    <row r="793" spans="1:7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">
        <v>25</v>
      </c>
      <c r="F793" s="3" t="s">
        <v>66</v>
      </c>
      <c r="G793" s="3" t="s">
        <v>1617</v>
      </c>
    </row>
    <row r="794" spans="1:7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">
        <v>33</v>
      </c>
      <c r="F794" s="3">
        <v>0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">
        <v>31</v>
      </c>
      <c r="F795" s="3" t="s">
        <v>31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">
        <v>38</v>
      </c>
      <c r="F796" s="3" t="s">
        <v>69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">
        <v>9</v>
      </c>
      <c r="F797" s="3" t="s">
        <v>64</v>
      </c>
      <c r="G797" s="3" t="s">
        <v>1616</v>
      </c>
    </row>
    <row r="798" spans="1:7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">
        <v>47</v>
      </c>
      <c r="F798" s="3" t="s">
        <v>46</v>
      </c>
      <c r="G798" s="3" t="s">
        <v>1617</v>
      </c>
    </row>
    <row r="799" spans="1:7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">
        <v>38</v>
      </c>
      <c r="F799" s="3" t="s">
        <v>69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">
        <v>47</v>
      </c>
      <c r="F800" s="3" t="s">
        <v>46</v>
      </c>
      <c r="G800" s="3" t="s">
        <v>1614</v>
      </c>
    </row>
    <row r="801" spans="1:7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">
        <v>9</v>
      </c>
      <c r="F801" s="3" t="s">
        <v>64</v>
      </c>
      <c r="G801" s="3" t="s">
        <v>1615</v>
      </c>
    </row>
    <row r="802" spans="1:7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">
        <v>9</v>
      </c>
      <c r="F802" s="3" t="s">
        <v>64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">
        <v>15</v>
      </c>
      <c r="F803" s="3" t="s">
        <v>14</v>
      </c>
      <c r="G803" s="3" t="s">
        <v>1614</v>
      </c>
    </row>
    <row r="804" spans="1:7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">
        <v>38</v>
      </c>
      <c r="F804" s="3" t="s">
        <v>69</v>
      </c>
      <c r="G804" s="3" t="s">
        <v>1615</v>
      </c>
    </row>
    <row r="805" spans="1:7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">
        <v>27</v>
      </c>
      <c r="F805" s="3" t="s">
        <v>67</v>
      </c>
      <c r="G805" s="3" t="s">
        <v>1617</v>
      </c>
    </row>
    <row r="806" spans="1:7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">
        <v>25</v>
      </c>
      <c r="F806" s="3" t="s">
        <v>66</v>
      </c>
      <c r="G806" s="3" t="s">
        <v>1617</v>
      </c>
    </row>
    <row r="807" spans="1:7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">
        <v>29</v>
      </c>
      <c r="F807" s="3" t="s">
        <v>17</v>
      </c>
      <c r="G807" s="3" t="s">
        <v>1617</v>
      </c>
    </row>
    <row r="808" spans="1:7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">
        <v>9</v>
      </c>
      <c r="F808" s="3" t="s">
        <v>64</v>
      </c>
      <c r="G808" s="3" t="s">
        <v>1617</v>
      </c>
    </row>
    <row r="809" spans="1:7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">
        <v>15</v>
      </c>
      <c r="F809" s="3" t="s">
        <v>14</v>
      </c>
      <c r="G809" s="3" t="s">
        <v>1617</v>
      </c>
    </row>
    <row r="810" spans="1:7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">
        <v>36</v>
      </c>
      <c r="F810" s="3" t="s">
        <v>68</v>
      </c>
      <c r="G810" s="3" t="s">
        <v>1617</v>
      </c>
    </row>
    <row r="811" spans="1:7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">
        <v>9</v>
      </c>
      <c r="F811" s="3" t="s">
        <v>64</v>
      </c>
      <c r="G811" s="3" t="s">
        <v>1613</v>
      </c>
    </row>
    <row r="812" spans="1:7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">
        <v>33</v>
      </c>
      <c r="F812" s="3">
        <v>0</v>
      </c>
      <c r="G812" s="3" t="s">
        <v>1617</v>
      </c>
    </row>
    <row r="813" spans="1:7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">
        <v>9</v>
      </c>
      <c r="F813" s="3" t="s">
        <v>64</v>
      </c>
      <c r="G813" s="3" t="s">
        <v>1617</v>
      </c>
    </row>
    <row r="814" spans="1:7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">
        <v>23</v>
      </c>
      <c r="F814" s="3" t="s">
        <v>65</v>
      </c>
      <c r="G814" s="3" t="s">
        <v>1617</v>
      </c>
    </row>
    <row r="815" spans="1:7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">
        <v>15</v>
      </c>
      <c r="F815" s="3" t="s">
        <v>14</v>
      </c>
      <c r="G815" s="3" t="s">
        <v>1617</v>
      </c>
    </row>
    <row r="816" spans="1:7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">
        <v>29</v>
      </c>
      <c r="F816" s="3" t="s">
        <v>17</v>
      </c>
      <c r="G816" s="3" t="s">
        <v>1617</v>
      </c>
    </row>
    <row r="817" spans="1:7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">
        <v>15</v>
      </c>
      <c r="F817" s="3" t="s">
        <v>14</v>
      </c>
      <c r="G817" s="3" t="s">
        <v>1617</v>
      </c>
    </row>
    <row r="818" spans="1:7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">
        <v>43</v>
      </c>
      <c r="F818" s="3" t="s">
        <v>70</v>
      </c>
      <c r="G818" s="3" t="s">
        <v>1617</v>
      </c>
    </row>
    <row r="819" spans="1:7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">
        <v>38</v>
      </c>
      <c r="F819" s="3" t="s">
        <v>69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">
        <v>31</v>
      </c>
      <c r="F820" s="3" t="s">
        <v>31</v>
      </c>
      <c r="G820" s="3" t="s">
        <v>1614</v>
      </c>
    </row>
    <row r="821" spans="1:7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">
        <v>9</v>
      </c>
      <c r="F821" s="3" t="s">
        <v>64</v>
      </c>
      <c r="G821" s="3" t="s">
        <v>1615</v>
      </c>
    </row>
    <row r="822" spans="1:7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">
        <v>9</v>
      </c>
      <c r="F822" s="3" t="s">
        <v>64</v>
      </c>
      <c r="G822" s="3" t="s">
        <v>1617</v>
      </c>
    </row>
    <row r="823" spans="1:7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">
        <v>9</v>
      </c>
      <c r="F823" s="3" t="s">
        <v>64</v>
      </c>
      <c r="G823" s="3" t="s">
        <v>1613</v>
      </c>
    </row>
    <row r="824" spans="1:7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">
        <v>9</v>
      </c>
      <c r="F824" s="3" t="s">
        <v>64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">
        <v>29</v>
      </c>
      <c r="F825" s="3" t="s">
        <v>17</v>
      </c>
      <c r="G825" s="3" t="s">
        <v>1616</v>
      </c>
    </row>
    <row r="826" spans="1:7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">
        <v>43</v>
      </c>
      <c r="F826" s="3" t="s">
        <v>70</v>
      </c>
      <c r="G826" s="3" t="s">
        <v>1617</v>
      </c>
    </row>
    <row r="827" spans="1:7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">
        <v>19</v>
      </c>
      <c r="F827" s="3" t="s">
        <v>18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">
        <v>23</v>
      </c>
      <c r="F828" s="3" t="s">
        <v>65</v>
      </c>
      <c r="G828" s="3" t="s">
        <v>1614</v>
      </c>
    </row>
    <row r="829" spans="1:7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">
        <v>45</v>
      </c>
      <c r="F829" s="3" t="s">
        <v>71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">
        <v>29</v>
      </c>
      <c r="F830" s="3" t="s">
        <v>17</v>
      </c>
      <c r="G830" s="3" t="s">
        <v>1616</v>
      </c>
    </row>
    <row r="831" spans="1:7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">
        <v>9</v>
      </c>
      <c r="F831" s="3" t="s">
        <v>64</v>
      </c>
      <c r="G831" s="3" t="s">
        <v>1613</v>
      </c>
    </row>
    <row r="832" spans="1:7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">
        <v>38</v>
      </c>
      <c r="F832" s="3" t="s">
        <v>69</v>
      </c>
      <c r="G832" s="3" t="s">
        <v>1615</v>
      </c>
    </row>
    <row r="833" spans="1:7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">
        <v>9</v>
      </c>
      <c r="F833" s="3" t="s">
        <v>64</v>
      </c>
      <c r="G833" s="3" t="s">
        <v>1617</v>
      </c>
    </row>
    <row r="834" spans="1:7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">
        <v>9</v>
      </c>
      <c r="F834" s="3" t="s">
        <v>64</v>
      </c>
      <c r="G834" s="3" t="s">
        <v>1615</v>
      </c>
    </row>
    <row r="835" spans="1:7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">
        <v>43</v>
      </c>
      <c r="F835" s="3" t="s">
        <v>70</v>
      </c>
      <c r="G835" s="3" t="s">
        <v>1615</v>
      </c>
    </row>
    <row r="836" spans="1:7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">
        <v>43</v>
      </c>
      <c r="F836" s="3" t="s">
        <v>70</v>
      </c>
      <c r="G836" s="3" t="s">
        <v>1617</v>
      </c>
    </row>
    <row r="837" spans="1:7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">
        <v>9</v>
      </c>
      <c r="F837" s="3" t="s">
        <v>64</v>
      </c>
      <c r="G837" s="3" t="s">
        <v>1613</v>
      </c>
    </row>
    <row r="838" spans="1:7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">
        <v>9</v>
      </c>
      <c r="F838" s="3" t="s">
        <v>64</v>
      </c>
      <c r="G838" s="3" t="s">
        <v>1615</v>
      </c>
    </row>
    <row r="839" spans="1:7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">
        <v>43</v>
      </c>
      <c r="F839" s="3" t="s">
        <v>70</v>
      </c>
      <c r="G839" s="3" t="s">
        <v>1613</v>
      </c>
    </row>
    <row r="840" spans="1:7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">
        <v>38</v>
      </c>
      <c r="F840" s="3" t="s">
        <v>69</v>
      </c>
      <c r="G840" s="3" t="s">
        <v>1615</v>
      </c>
    </row>
    <row r="841" spans="1:7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">
        <v>9</v>
      </c>
      <c r="F841" s="3" t="s">
        <v>64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">
        <v>11</v>
      </c>
      <c r="F842" s="3" t="s">
        <v>10</v>
      </c>
      <c r="G842" s="3" t="s">
        <v>1616</v>
      </c>
    </row>
    <row r="843" spans="1:7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">
        <v>43</v>
      </c>
      <c r="F843" s="3" t="s">
        <v>70</v>
      </c>
      <c r="G843" s="3" t="s">
        <v>1613</v>
      </c>
    </row>
    <row r="844" spans="1:7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">
        <v>43</v>
      </c>
      <c r="F844" s="3" t="s">
        <v>70</v>
      </c>
      <c r="G844" s="3" t="s">
        <v>1613</v>
      </c>
    </row>
    <row r="845" spans="1:7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">
        <v>9</v>
      </c>
      <c r="F845" s="3" t="s">
        <v>64</v>
      </c>
      <c r="G845" s="3" t="s">
        <v>1613</v>
      </c>
    </row>
    <row r="846" spans="1:7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">
        <v>9</v>
      </c>
      <c r="F846" s="3" t="s">
        <v>64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">
        <v>31</v>
      </c>
      <c r="F847" s="3" t="s">
        <v>31</v>
      </c>
      <c r="G847" s="3" t="s">
        <v>1614</v>
      </c>
    </row>
    <row r="848" spans="1:7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">
        <v>33</v>
      </c>
      <c r="F848" s="3">
        <v>0</v>
      </c>
      <c r="G848" s="3" t="s">
        <v>1617</v>
      </c>
    </row>
    <row r="849" spans="1:7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">
        <v>9</v>
      </c>
      <c r="F849" s="3" t="s">
        <v>64</v>
      </c>
      <c r="G849" s="3" t="s">
        <v>1613</v>
      </c>
    </row>
    <row r="850" spans="1:7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">
        <v>43</v>
      </c>
      <c r="F850" s="3" t="s">
        <v>70</v>
      </c>
      <c r="G850" s="3" t="s">
        <v>1613</v>
      </c>
    </row>
    <row r="851" spans="1:7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">
        <v>38</v>
      </c>
      <c r="F851" s="3" t="s">
        <v>69</v>
      </c>
      <c r="G851" s="3" t="s">
        <v>1615</v>
      </c>
    </row>
    <row r="852" spans="1:7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">
        <v>45</v>
      </c>
      <c r="F852" s="3" t="s">
        <v>71</v>
      </c>
      <c r="G852" s="3" t="s">
        <v>1615</v>
      </c>
    </row>
    <row r="853" spans="1:7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">
        <v>43</v>
      </c>
      <c r="F853" s="3" t="s">
        <v>70</v>
      </c>
      <c r="G853" s="3" t="s">
        <v>1617</v>
      </c>
    </row>
    <row r="854" spans="1:7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">
        <v>19</v>
      </c>
      <c r="F854" s="3" t="s">
        <v>18</v>
      </c>
      <c r="G854" s="3" t="s">
        <v>1615</v>
      </c>
    </row>
    <row r="855" spans="1:7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">
        <v>43</v>
      </c>
      <c r="F855" s="3" t="s">
        <v>70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">
        <v>53</v>
      </c>
      <c r="F856" s="3" t="s">
        <v>53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">
        <v>23</v>
      </c>
      <c r="F857" s="3" t="s">
        <v>65</v>
      </c>
      <c r="G857" s="3" t="s">
        <v>1614</v>
      </c>
    </row>
    <row r="858" spans="1:7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">
        <v>25</v>
      </c>
      <c r="F858" s="3" t="s">
        <v>66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">
        <v>29</v>
      </c>
      <c r="F859" s="3" t="s">
        <v>17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">
        <v>31</v>
      </c>
      <c r="F860" s="3" t="s">
        <v>31</v>
      </c>
      <c r="G860" s="3">
        <v>0</v>
      </c>
    </row>
    <row r="861" spans="1:7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">
        <v>29</v>
      </c>
      <c r="F861" s="3" t="s">
        <v>17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">
        <v>29</v>
      </c>
      <c r="F862" s="3" t="s">
        <v>17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">
        <v>49</v>
      </c>
      <c r="F863" s="3" t="s">
        <v>48</v>
      </c>
      <c r="G863" s="3" t="s">
        <v>1614</v>
      </c>
    </row>
    <row r="864" spans="1:7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">
        <v>43</v>
      </c>
      <c r="F864" s="3" t="s">
        <v>70</v>
      </c>
      <c r="G864" s="3" t="s">
        <v>1615</v>
      </c>
    </row>
    <row r="865" spans="1:7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">
        <v>43</v>
      </c>
      <c r="F865" s="3" t="s">
        <v>70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v>0</v>
      </c>
      <c r="F866" s="3">
        <v>0</v>
      </c>
      <c r="G866" s="3" t="s">
        <v>1614</v>
      </c>
    </row>
    <row r="867" spans="1:7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">
        <v>38</v>
      </c>
      <c r="F867" s="3" t="s">
        <v>69</v>
      </c>
      <c r="G867" s="3" t="s">
        <v>1613</v>
      </c>
    </row>
    <row r="868" spans="1:7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">
        <v>9</v>
      </c>
      <c r="F868" s="3" t="s">
        <v>64</v>
      </c>
      <c r="G868" s="3" t="s">
        <v>1613</v>
      </c>
    </row>
    <row r="869" spans="1:7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">
        <v>23</v>
      </c>
      <c r="F869" s="3" t="s">
        <v>65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">
        <v>47</v>
      </c>
      <c r="F870" s="3" t="s">
        <v>46</v>
      </c>
      <c r="G870" s="3" t="s">
        <v>1614</v>
      </c>
    </row>
    <row r="871" spans="1:7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">
        <v>9</v>
      </c>
      <c r="F871" s="3" t="s">
        <v>64</v>
      </c>
      <c r="G871" s="3" t="s">
        <v>1613</v>
      </c>
    </row>
    <row r="872" spans="1:7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">
        <v>9</v>
      </c>
      <c r="F872" s="3" t="s">
        <v>64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">
        <v>29</v>
      </c>
      <c r="F873" s="3" t="s">
        <v>17</v>
      </c>
      <c r="G873" s="3" t="s">
        <v>1616</v>
      </c>
    </row>
    <row r="874" spans="1:7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">
        <v>43</v>
      </c>
      <c r="F874" s="3" t="s">
        <v>70</v>
      </c>
      <c r="G874" s="3" t="s">
        <v>1613</v>
      </c>
    </row>
    <row r="875" spans="1:7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">
        <v>43</v>
      </c>
      <c r="F875" s="3" t="s">
        <v>70</v>
      </c>
      <c r="G875" s="3" t="s">
        <v>1617</v>
      </c>
    </row>
    <row r="876" spans="1:7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">
        <v>29</v>
      </c>
      <c r="F876" s="3" t="s">
        <v>17</v>
      </c>
      <c r="G876" s="3" t="s">
        <v>1613</v>
      </c>
    </row>
    <row r="877" spans="1:7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">
        <v>25</v>
      </c>
      <c r="F877" s="3" t="s">
        <v>66</v>
      </c>
      <c r="G877" s="3" t="s">
        <v>1617</v>
      </c>
    </row>
    <row r="878" spans="1:7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">
        <v>25</v>
      </c>
      <c r="F878" s="3" t="s">
        <v>66</v>
      </c>
      <c r="G878" s="3" t="s">
        <v>1613</v>
      </c>
    </row>
    <row r="879" spans="1:7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">
        <v>45</v>
      </c>
      <c r="F879" s="3" t="s">
        <v>71</v>
      </c>
      <c r="G879" s="3" t="s">
        <v>1615</v>
      </c>
    </row>
    <row r="880" spans="1:7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">
        <v>9</v>
      </c>
      <c r="F880" s="3" t="s">
        <v>64</v>
      </c>
      <c r="G880" s="3" t="s">
        <v>1615</v>
      </c>
    </row>
    <row r="881" spans="1:7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">
        <v>9</v>
      </c>
      <c r="F881" s="3" t="s">
        <v>64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">
        <v>21</v>
      </c>
      <c r="F882" s="3" t="s">
        <v>21</v>
      </c>
      <c r="G882" s="3" t="s">
        <v>1614</v>
      </c>
    </row>
    <row r="883" spans="1:7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">
        <v>43</v>
      </c>
      <c r="F883" s="3" t="s">
        <v>70</v>
      </c>
      <c r="G883" s="3" t="s">
        <v>1617</v>
      </c>
    </row>
    <row r="884" spans="1:7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">
        <v>43</v>
      </c>
      <c r="F884" s="3" t="s">
        <v>70</v>
      </c>
      <c r="G884" s="3" t="s">
        <v>1617</v>
      </c>
    </row>
    <row r="885" spans="1:7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">
        <v>43</v>
      </c>
      <c r="F885" s="3" t="s">
        <v>70</v>
      </c>
      <c r="G885" s="3" t="s">
        <v>1617</v>
      </c>
    </row>
    <row r="886" spans="1:7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">
        <v>25</v>
      </c>
      <c r="F886" s="3" t="s">
        <v>66</v>
      </c>
      <c r="G886" s="3" t="s">
        <v>1617</v>
      </c>
    </row>
    <row r="887" spans="1:7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">
        <v>33</v>
      </c>
      <c r="F887" s="3">
        <v>0</v>
      </c>
      <c r="G887" s="3" t="s">
        <v>1617</v>
      </c>
    </row>
    <row r="888" spans="1:7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">
        <v>9</v>
      </c>
      <c r="F888" s="3" t="s">
        <v>64</v>
      </c>
      <c r="G888" s="3" t="s">
        <v>1613</v>
      </c>
    </row>
    <row r="889" spans="1:7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">
        <v>15</v>
      </c>
      <c r="F889" s="3" t="s">
        <v>14</v>
      </c>
      <c r="G889" s="3" t="s">
        <v>1615</v>
      </c>
    </row>
    <row r="890" spans="1:7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">
        <v>19</v>
      </c>
      <c r="F890" s="3" t="s">
        <v>18</v>
      </c>
      <c r="G890" s="3" t="s">
        <v>1617</v>
      </c>
    </row>
    <row r="891" spans="1:7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">
        <v>9</v>
      </c>
      <c r="F891" s="3" t="s">
        <v>64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">
        <v>15</v>
      </c>
      <c r="F892" s="3" t="s">
        <v>14</v>
      </c>
      <c r="G892" s="3" t="s">
        <v>1616</v>
      </c>
    </row>
    <row r="893" spans="1:7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">
        <v>38</v>
      </c>
      <c r="F893" s="3" t="s">
        <v>69</v>
      </c>
      <c r="G893" s="3" t="s">
        <v>1617</v>
      </c>
    </row>
    <row r="894" spans="1:7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">
        <v>25</v>
      </c>
      <c r="F894" s="3" t="s">
        <v>66</v>
      </c>
      <c r="G894" s="3" t="s">
        <v>1615</v>
      </c>
    </row>
    <row r="895" spans="1:7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">
        <v>23</v>
      </c>
      <c r="F895" s="3" t="s">
        <v>65</v>
      </c>
      <c r="G895" s="3" t="s">
        <v>1613</v>
      </c>
    </row>
    <row r="896" spans="1:7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">
        <v>9</v>
      </c>
      <c r="F896" s="3" t="s">
        <v>64</v>
      </c>
      <c r="G896" s="3" t="s">
        <v>1613</v>
      </c>
    </row>
    <row r="897" spans="1:7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">
        <v>25</v>
      </c>
      <c r="F897" s="3" t="s">
        <v>66</v>
      </c>
      <c r="G897" s="3" t="s">
        <v>1613</v>
      </c>
    </row>
    <row r="898" spans="1:7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">
        <v>36</v>
      </c>
      <c r="F898" s="3" t="s">
        <v>68</v>
      </c>
      <c r="G898" s="3" t="s">
        <v>1615</v>
      </c>
    </row>
    <row r="899" spans="1:7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">
        <v>25</v>
      </c>
      <c r="F899" s="3" t="s">
        <v>66</v>
      </c>
      <c r="G899" s="3" t="s">
        <v>1617</v>
      </c>
    </row>
    <row r="900" spans="1:7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">
        <v>9</v>
      </c>
      <c r="F900" s="3" t="s">
        <v>64</v>
      </c>
      <c r="G900" s="3" t="s">
        <v>1615</v>
      </c>
    </row>
    <row r="901" spans="1:7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">
        <v>19</v>
      </c>
      <c r="F901" s="3" t="s">
        <v>18</v>
      </c>
      <c r="G901" s="3" t="s">
        <v>1615</v>
      </c>
    </row>
    <row r="902" spans="1:7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">
        <v>15</v>
      </c>
      <c r="F902" s="3" t="s">
        <v>14</v>
      </c>
      <c r="G902" s="3" t="s">
        <v>1617</v>
      </c>
    </row>
    <row r="903" spans="1:7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">
        <v>25</v>
      </c>
      <c r="F903" s="3" t="s">
        <v>66</v>
      </c>
      <c r="G903" s="3" t="s">
        <v>1617</v>
      </c>
    </row>
    <row r="904" spans="1:7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">
        <v>19</v>
      </c>
      <c r="F904" s="3" t="s">
        <v>18</v>
      </c>
      <c r="G904" s="3" t="s">
        <v>1617</v>
      </c>
    </row>
    <row r="905" spans="1:7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">
        <v>15</v>
      </c>
      <c r="F905" s="3" t="s">
        <v>14</v>
      </c>
      <c r="G905" s="3" t="s">
        <v>1617</v>
      </c>
    </row>
    <row r="906" spans="1:7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">
        <v>45</v>
      </c>
      <c r="F906" s="3" t="s">
        <v>71</v>
      </c>
      <c r="G906" s="3" t="s">
        <v>1615</v>
      </c>
    </row>
    <row r="907" spans="1:7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">
        <v>33</v>
      </c>
      <c r="F907" s="3">
        <v>0</v>
      </c>
      <c r="G907" s="3" t="s">
        <v>1617</v>
      </c>
    </row>
    <row r="908" spans="1:7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">
        <v>9</v>
      </c>
      <c r="F908" s="3" t="s">
        <v>64</v>
      </c>
      <c r="G908" s="3" t="s">
        <v>1617</v>
      </c>
    </row>
    <row r="909" spans="1:7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">
        <v>25</v>
      </c>
      <c r="F909" s="3" t="s">
        <v>66</v>
      </c>
      <c r="G909" s="3" t="s">
        <v>1615</v>
      </c>
    </row>
    <row r="910" spans="1:7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">
        <v>9</v>
      </c>
      <c r="F910" s="3" t="s">
        <v>64</v>
      </c>
      <c r="G910" s="3" t="s">
        <v>1617</v>
      </c>
    </row>
    <row r="911" spans="1:7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">
        <v>9</v>
      </c>
      <c r="F911" s="3" t="s">
        <v>64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">
        <v>43</v>
      </c>
      <c r="F912" s="3" t="s">
        <v>70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">
        <v>9</v>
      </c>
      <c r="F913" s="3" t="s">
        <v>64</v>
      </c>
      <c r="G913" s="3" t="s">
        <v>1614</v>
      </c>
    </row>
    <row r="914" spans="1:7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">
        <v>15</v>
      </c>
      <c r="F914" s="3" t="s">
        <v>14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v>0</v>
      </c>
      <c r="F915" s="3">
        <v>0</v>
      </c>
      <c r="G915" s="3" t="s">
        <v>1614</v>
      </c>
    </row>
    <row r="916" spans="1:7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">
        <v>9</v>
      </c>
      <c r="F916" s="3" t="s">
        <v>64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">
        <v>29</v>
      </c>
      <c r="F917" s="3" t="s">
        <v>17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">
        <v>47</v>
      </c>
      <c r="F918" s="3" t="s">
        <v>46</v>
      </c>
      <c r="G918" s="3" t="s">
        <v>1614</v>
      </c>
    </row>
    <row r="919" spans="1:7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">
        <v>19</v>
      </c>
      <c r="F919" s="3" t="s">
        <v>18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">
        <v>53</v>
      </c>
      <c r="F920" s="3" t="s">
        <v>53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">
        <v>23</v>
      </c>
      <c r="F921" s="3" t="s">
        <v>65</v>
      </c>
      <c r="G921" s="3" t="s">
        <v>1616</v>
      </c>
    </row>
    <row r="922" spans="1:7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">
        <v>29</v>
      </c>
      <c r="F922" s="3" t="s">
        <v>17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">
        <v>57</v>
      </c>
      <c r="F923" s="3" t="s">
        <v>72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">
        <v>9</v>
      </c>
      <c r="F924" s="3" t="s">
        <v>64</v>
      </c>
      <c r="G924" s="3" t="s">
        <v>1614</v>
      </c>
    </row>
    <row r="925" spans="1:7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">
        <v>43</v>
      </c>
      <c r="F925" s="3" t="s">
        <v>70</v>
      </c>
      <c r="G925" s="3" t="s">
        <v>1617</v>
      </c>
    </row>
    <row r="926" spans="1:7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">
        <v>45</v>
      </c>
      <c r="F926" s="3" t="s">
        <v>71</v>
      </c>
      <c r="G926" s="3" t="s">
        <v>1617</v>
      </c>
    </row>
    <row r="927" spans="1:7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">
        <v>23</v>
      </c>
      <c r="F927" s="3" t="s">
        <v>65</v>
      </c>
      <c r="G927" s="3" t="s">
        <v>1613</v>
      </c>
    </row>
    <row r="928" spans="1:7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">
        <v>38</v>
      </c>
      <c r="F928" s="3" t="s">
        <v>69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">
        <v>43</v>
      </c>
      <c r="F929" s="3" t="s">
        <v>70</v>
      </c>
      <c r="G929" s="3" t="s">
        <v>1616</v>
      </c>
    </row>
    <row r="930" spans="1:7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">
        <v>25</v>
      </c>
      <c r="F930" s="3" t="s">
        <v>66</v>
      </c>
      <c r="G930" s="3" t="s">
        <v>1617</v>
      </c>
    </row>
    <row r="931" spans="1:7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">
        <v>9</v>
      </c>
      <c r="F931" s="3" t="s">
        <v>64</v>
      </c>
      <c r="G931" s="3" t="s">
        <v>1613</v>
      </c>
    </row>
    <row r="932" spans="1:7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">
        <v>29</v>
      </c>
      <c r="F932" s="3" t="s">
        <v>17</v>
      </c>
      <c r="G932" s="3" t="s">
        <v>1617</v>
      </c>
    </row>
    <row r="933" spans="1:7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">
        <v>25</v>
      </c>
      <c r="F933" s="3" t="s">
        <v>66</v>
      </c>
      <c r="G933" s="3" t="s">
        <v>1617</v>
      </c>
    </row>
    <row r="934" spans="1:7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">
        <v>43</v>
      </c>
      <c r="F934" s="3" t="s">
        <v>70</v>
      </c>
      <c r="G934" s="3" t="s">
        <v>1613</v>
      </c>
    </row>
    <row r="935" spans="1:7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">
        <v>43</v>
      </c>
      <c r="F935" s="3" t="s">
        <v>70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">
        <v>9</v>
      </c>
      <c r="F936" s="3" t="s">
        <v>64</v>
      </c>
      <c r="G936" s="3" t="s">
        <v>1614</v>
      </c>
    </row>
    <row r="937" spans="1:7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">
        <v>25</v>
      </c>
      <c r="F937" s="3" t="s">
        <v>66</v>
      </c>
      <c r="G937" s="3" t="s">
        <v>1617</v>
      </c>
    </row>
    <row r="938" spans="1:7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">
        <v>23</v>
      </c>
      <c r="F938" s="3" t="s">
        <v>65</v>
      </c>
      <c r="G938" s="3" t="s">
        <v>1613</v>
      </c>
    </row>
    <row r="939" spans="1:7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">
        <v>21</v>
      </c>
      <c r="F939" s="3" t="s">
        <v>21</v>
      </c>
      <c r="G939" s="3" t="s">
        <v>1615</v>
      </c>
    </row>
    <row r="940" spans="1:7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">
        <v>29</v>
      </c>
      <c r="F940" s="3" t="s">
        <v>17</v>
      </c>
      <c r="G940" s="3" t="s">
        <v>1617</v>
      </c>
    </row>
    <row r="941" spans="1:7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">
        <v>25</v>
      </c>
      <c r="F941" s="3" t="s">
        <v>66</v>
      </c>
      <c r="G941" s="3" t="s">
        <v>1613</v>
      </c>
    </row>
    <row r="942" spans="1:7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">
        <v>9</v>
      </c>
      <c r="F942" s="3" t="s">
        <v>64</v>
      </c>
      <c r="G942" s="3" t="s">
        <v>1613</v>
      </c>
    </row>
    <row r="943" spans="1:7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">
        <v>23</v>
      </c>
      <c r="F943" s="3" t="s">
        <v>65</v>
      </c>
      <c r="G943" s="3" t="s">
        <v>1613</v>
      </c>
    </row>
    <row r="944" spans="1:7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">
        <v>45</v>
      </c>
      <c r="F944" s="3" t="s">
        <v>71</v>
      </c>
      <c r="G944" s="3" t="s">
        <v>1615</v>
      </c>
    </row>
    <row r="945" spans="1:7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">
        <v>47</v>
      </c>
      <c r="F945" s="3" t="s">
        <v>46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">
        <v>25</v>
      </c>
      <c r="F946" s="3" t="s">
        <v>66</v>
      </c>
      <c r="G946" s="3" t="s">
        <v>1614</v>
      </c>
    </row>
    <row r="947" spans="1:7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">
        <v>9</v>
      </c>
      <c r="F947" s="3" t="s">
        <v>64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">
        <v>27</v>
      </c>
      <c r="F948" s="3" t="s">
        <v>67</v>
      </c>
      <c r="G948" s="3" t="s">
        <v>1614</v>
      </c>
    </row>
    <row r="949" spans="1:7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">
        <v>43</v>
      </c>
      <c r="F949" s="3" t="s">
        <v>70</v>
      </c>
      <c r="G949" s="3" t="s">
        <v>1617</v>
      </c>
    </row>
    <row r="950" spans="1:7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">
        <v>9</v>
      </c>
      <c r="F950" s="3" t="s">
        <v>64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">
        <v>15</v>
      </c>
      <c r="F951" s="3" t="s">
        <v>14</v>
      </c>
      <c r="G951" s="3" t="s">
        <v>1616</v>
      </c>
    </row>
    <row r="952" spans="1:7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">
        <v>19</v>
      </c>
      <c r="F952" s="3" t="s">
        <v>18</v>
      </c>
      <c r="G952" s="3" t="s">
        <v>1617</v>
      </c>
    </row>
    <row r="953" spans="1:7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">
        <v>36</v>
      </c>
      <c r="F953" s="3" t="s">
        <v>68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">
        <v>25</v>
      </c>
      <c r="F954" s="3" t="s">
        <v>66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">
        <v>47</v>
      </c>
      <c r="F955" s="3" t="s">
        <v>46</v>
      </c>
      <c r="G955" s="3" t="s">
        <v>1616</v>
      </c>
    </row>
    <row r="956" spans="1:7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">
        <v>43</v>
      </c>
      <c r="F956" s="3" t="s">
        <v>70</v>
      </c>
      <c r="G956" s="3" t="s">
        <v>1613</v>
      </c>
    </row>
    <row r="957" spans="1:7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">
        <v>29</v>
      </c>
      <c r="F957" s="3" t="s">
        <v>17</v>
      </c>
      <c r="G957" s="3" t="s">
        <v>1613</v>
      </c>
    </row>
    <row r="958" spans="1:7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">
        <v>29</v>
      </c>
      <c r="F958" s="3" t="s">
        <v>17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">
        <v>31</v>
      </c>
      <c r="F959" s="3" t="s">
        <v>31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">
        <v>49</v>
      </c>
      <c r="F960" s="3" t="s">
        <v>48</v>
      </c>
      <c r="G960" s="3" t="s">
        <v>1614</v>
      </c>
    </row>
    <row r="961" spans="1:7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">
        <v>9</v>
      </c>
      <c r="F961" s="3" t="s">
        <v>64</v>
      </c>
      <c r="G961" s="3" t="s">
        <v>1615</v>
      </c>
    </row>
    <row r="962" spans="1:7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">
        <v>57</v>
      </c>
      <c r="F962" s="3" t="s">
        <v>72</v>
      </c>
      <c r="G962" s="3" t="s">
        <v>1615</v>
      </c>
    </row>
    <row r="963" spans="1:7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">
        <v>9</v>
      </c>
      <c r="F963" s="3" t="s">
        <v>64</v>
      </c>
      <c r="G963" s="3" t="s">
        <v>1613</v>
      </c>
    </row>
    <row r="964" spans="1:7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">
        <v>43</v>
      </c>
      <c r="F964" s="3" t="s">
        <v>70</v>
      </c>
      <c r="G964" s="3" t="s">
        <v>1615</v>
      </c>
    </row>
    <row r="965" spans="1:7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">
        <v>19</v>
      </c>
      <c r="F965" s="3" t="s">
        <v>18</v>
      </c>
      <c r="G965" s="3" t="s">
        <v>1615</v>
      </c>
    </row>
    <row r="966" spans="1:7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">
        <v>43</v>
      </c>
      <c r="F966" s="3" t="s">
        <v>70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">
        <v>29</v>
      </c>
      <c r="F967" s="3" t="s">
        <v>17</v>
      </c>
      <c r="G967" s="3" t="s">
        <v>1616</v>
      </c>
    </row>
    <row r="968" spans="1:7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">
        <v>9</v>
      </c>
      <c r="F968" s="3" t="s">
        <v>64</v>
      </c>
      <c r="G968" s="3" t="s">
        <v>1615</v>
      </c>
    </row>
    <row r="969" spans="1:7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">
        <v>9</v>
      </c>
      <c r="F969" s="3" t="s">
        <v>64</v>
      </c>
      <c r="G969" s="3" t="s">
        <v>1613</v>
      </c>
    </row>
    <row r="970" spans="1:7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">
        <v>15</v>
      </c>
      <c r="F970" s="3" t="s">
        <v>14</v>
      </c>
      <c r="G970" s="3" t="s">
        <v>1615</v>
      </c>
    </row>
    <row r="971" spans="1:7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">
        <v>15</v>
      </c>
      <c r="F971" s="3" t="s">
        <v>14</v>
      </c>
      <c r="G971" s="3" t="s">
        <v>1617</v>
      </c>
    </row>
    <row r="972" spans="1:7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">
        <v>23</v>
      </c>
      <c r="F972" s="3" t="s">
        <v>65</v>
      </c>
      <c r="G972" s="3" t="s">
        <v>1617</v>
      </c>
    </row>
    <row r="973" spans="1:7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">
        <v>33</v>
      </c>
      <c r="F973" s="3">
        <v>0</v>
      </c>
      <c r="G973" s="3" t="s">
        <v>1615</v>
      </c>
    </row>
    <row r="974" spans="1:7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">
        <v>25</v>
      </c>
      <c r="F974" s="3" t="s">
        <v>66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">
        <v>49</v>
      </c>
      <c r="F975" s="3" t="s">
        <v>48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">
        <v>9</v>
      </c>
      <c r="F976" s="3" t="s">
        <v>64</v>
      </c>
      <c r="G976" s="3" t="s">
        <v>1616</v>
      </c>
    </row>
    <row r="977" spans="1:7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">
        <v>38</v>
      </c>
      <c r="F977" s="3" t="s">
        <v>69</v>
      </c>
      <c r="G977" s="3" t="s">
        <v>1615</v>
      </c>
    </row>
    <row r="978" spans="1:7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">
        <v>29</v>
      </c>
      <c r="F978" s="3" t="s">
        <v>17</v>
      </c>
      <c r="G978" s="3" t="s">
        <v>1613</v>
      </c>
    </row>
    <row r="979" spans="1:7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">
        <v>29</v>
      </c>
      <c r="F979" s="3" t="s">
        <v>17</v>
      </c>
      <c r="G979" s="3" t="s">
        <v>1617</v>
      </c>
    </row>
    <row r="980" spans="1:7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">
        <v>23</v>
      </c>
      <c r="F980" s="3" t="s">
        <v>65</v>
      </c>
      <c r="G980" s="3" t="s">
        <v>1617</v>
      </c>
    </row>
    <row r="981" spans="1:7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">
        <v>9</v>
      </c>
      <c r="F981" s="3" t="s">
        <v>64</v>
      </c>
      <c r="G981" s="3" t="s">
        <v>1615</v>
      </c>
    </row>
    <row r="982" spans="1:7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">
        <v>25</v>
      </c>
      <c r="F982" s="3" t="s">
        <v>66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">
        <v>38</v>
      </c>
      <c r="F983" s="3" t="s">
        <v>69</v>
      </c>
      <c r="G983" s="3" t="s">
        <v>1616</v>
      </c>
    </row>
    <row r="984" spans="1:7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">
        <v>43</v>
      </c>
      <c r="F984" s="3" t="s">
        <v>70</v>
      </c>
      <c r="G984" s="3" t="s">
        <v>1617</v>
      </c>
    </row>
    <row r="985" spans="1:7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">
        <v>9</v>
      </c>
      <c r="F985" s="3" t="s">
        <v>64</v>
      </c>
      <c r="G985" s="3" t="s">
        <v>1615</v>
      </c>
    </row>
    <row r="986" spans="1:7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">
        <v>38</v>
      </c>
      <c r="F986" s="3" t="s">
        <v>69</v>
      </c>
      <c r="G986" s="3" t="s">
        <v>1615</v>
      </c>
    </row>
    <row r="987" spans="1:7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">
        <v>38</v>
      </c>
      <c r="F987" s="3" t="s">
        <v>69</v>
      </c>
      <c r="G987" s="3" t="s">
        <v>1617</v>
      </c>
    </row>
    <row r="988" spans="1:7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">
        <v>43</v>
      </c>
      <c r="F988" s="3" t="s">
        <v>70</v>
      </c>
      <c r="G988" s="3" t="s">
        <v>1615</v>
      </c>
    </row>
    <row r="989" spans="1:7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">
        <v>9</v>
      </c>
      <c r="F989" s="3" t="s">
        <v>64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">
        <v>38</v>
      </c>
      <c r="F990" s="3" t="s">
        <v>69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v>0</v>
      </c>
      <c r="F991" s="3">
        <v>0</v>
      </c>
      <c r="G991" s="3" t="s">
        <v>1614</v>
      </c>
    </row>
    <row r="992" spans="1:7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">
        <v>23</v>
      </c>
      <c r="F992" s="3" t="s">
        <v>65</v>
      </c>
      <c r="G992" s="3" t="s">
        <v>1617</v>
      </c>
    </row>
    <row r="993" spans="1:7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">
        <v>9</v>
      </c>
      <c r="F993" s="3" t="s">
        <v>64</v>
      </c>
      <c r="G993" s="3" t="s">
        <v>1615</v>
      </c>
    </row>
    <row r="994" spans="1:7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">
        <v>9</v>
      </c>
      <c r="F994" s="3" t="s">
        <v>64</v>
      </c>
      <c r="G994" s="3" t="s">
        <v>1615</v>
      </c>
    </row>
    <row r="995" spans="1:7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">
        <v>9</v>
      </c>
      <c r="F995" s="3" t="s">
        <v>64</v>
      </c>
      <c r="G995" s="3" t="s">
        <v>1613</v>
      </c>
    </row>
    <row r="996" spans="1:7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">
        <v>43</v>
      </c>
      <c r="F996" s="3" t="s">
        <v>70</v>
      </c>
      <c r="G996" s="3" t="s">
        <v>1617</v>
      </c>
    </row>
    <row r="997" spans="1:7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">
        <v>23</v>
      </c>
      <c r="F997" s="3" t="s">
        <v>65</v>
      </c>
      <c r="G997" s="3" t="s">
        <v>1617</v>
      </c>
    </row>
    <row r="998" spans="1:7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">
        <v>45</v>
      </c>
      <c r="F998" s="3" t="s">
        <v>71</v>
      </c>
      <c r="G998" s="3" t="s">
        <v>1617</v>
      </c>
    </row>
    <row r="999" spans="1:7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">
        <v>21</v>
      </c>
      <c r="F999" s="3" t="s">
        <v>21</v>
      </c>
      <c r="G999" s="3" t="s">
        <v>1615</v>
      </c>
    </row>
    <row r="1000" spans="1:7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">
        <v>29</v>
      </c>
      <c r="F1000" s="3" t="s">
        <v>17</v>
      </c>
      <c r="G1000" s="3" t="s">
        <v>1613</v>
      </c>
    </row>
    <row r="1001" spans="1:7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">
        <v>9</v>
      </c>
      <c r="F1001" s="3" t="s">
        <v>64</v>
      </c>
      <c r="G1001" s="3" t="s">
        <v>1617</v>
      </c>
    </row>
    <row r="1002" spans="1:7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">
        <v>38</v>
      </c>
      <c r="F1002" s="3" t="s">
        <v>69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">
        <v>29</v>
      </c>
      <c r="F1003" s="3" t="s">
        <v>17</v>
      </c>
      <c r="G1003" s="3" t="s">
        <v>1616</v>
      </c>
    </row>
    <row r="1004" spans="1:7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">
        <v>40</v>
      </c>
      <c r="F1004" s="3" t="s">
        <v>39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">
        <v>23</v>
      </c>
      <c r="F1005" s="3" t="s">
        <v>65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">
        <v>52</v>
      </c>
      <c r="F1006" s="3" t="s">
        <v>51</v>
      </c>
      <c r="G1006" s="3" t="s">
        <v>1616</v>
      </c>
    </row>
    <row r="1007" spans="1:7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">
        <v>9</v>
      </c>
      <c r="F1007" s="3" t="s">
        <v>64</v>
      </c>
      <c r="G1007" s="3" t="s">
        <v>1617</v>
      </c>
    </row>
    <row r="1008" spans="1:7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">
        <v>43</v>
      </c>
      <c r="F1008" s="3" t="s">
        <v>70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">
        <v>27</v>
      </c>
      <c r="F1009" s="3" t="s">
        <v>67</v>
      </c>
      <c r="G1009" s="3" t="s">
        <v>1614</v>
      </c>
    </row>
    <row r="1010" spans="1:7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">
        <v>25</v>
      </c>
      <c r="F1010" s="3" t="s">
        <v>66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">
        <v>9</v>
      </c>
      <c r="F1011" s="3" t="s">
        <v>64</v>
      </c>
      <c r="G1011" s="3" t="s">
        <v>1614</v>
      </c>
    </row>
    <row r="1012" spans="1:7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">
        <v>9</v>
      </c>
      <c r="F1012" s="3" t="s">
        <v>64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">
        <v>27</v>
      </c>
      <c r="F1013" s="3" t="s">
        <v>67</v>
      </c>
      <c r="G1013" s="3" t="s">
        <v>1616</v>
      </c>
    </row>
    <row r="1014" spans="1:7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">
        <v>23</v>
      </c>
      <c r="F1014" s="3" t="s">
        <v>65</v>
      </c>
      <c r="G1014" s="3" t="s">
        <v>1615</v>
      </c>
    </row>
    <row r="1015" spans="1:7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">
        <v>9</v>
      </c>
      <c r="F1015" s="3" t="s">
        <v>64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">
        <v>15</v>
      </c>
      <c r="F1016" s="3" t="s">
        <v>14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">
        <v>33</v>
      </c>
      <c r="F1017" s="3">
        <v>0</v>
      </c>
      <c r="G1017" s="3" t="s">
        <v>1616</v>
      </c>
    </row>
    <row r="1018" spans="1:7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">
        <v>9</v>
      </c>
      <c r="F1018" s="3" t="s">
        <v>64</v>
      </c>
      <c r="G1018" s="3" t="s">
        <v>1615</v>
      </c>
    </row>
    <row r="1019" spans="1:7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">
        <v>19</v>
      </c>
      <c r="F1019" s="3" t="s">
        <v>18</v>
      </c>
      <c r="G1019" s="3" t="s">
        <v>1617</v>
      </c>
    </row>
    <row r="1020" spans="1:7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">
        <v>45</v>
      </c>
      <c r="F1020" s="3" t="s">
        <v>71</v>
      </c>
      <c r="G1020" s="3" t="s">
        <v>1617</v>
      </c>
    </row>
    <row r="1021" spans="1:7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">
        <v>9</v>
      </c>
      <c r="F1021" s="3" t="s">
        <v>64</v>
      </c>
      <c r="G1021" s="3" t="s">
        <v>1613</v>
      </c>
    </row>
    <row r="1022" spans="1:7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">
        <v>11</v>
      </c>
      <c r="F1022" s="3" t="s">
        <v>10</v>
      </c>
      <c r="G1022" s="3" t="s">
        <v>1615</v>
      </c>
    </row>
    <row r="1023" spans="1:7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">
        <v>23</v>
      </c>
      <c r="F1023" s="3" t="s">
        <v>65</v>
      </c>
      <c r="G1023" s="3" t="s">
        <v>1613</v>
      </c>
    </row>
    <row r="1024" spans="1:7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">
        <v>33</v>
      </c>
      <c r="F1024" s="3">
        <v>0</v>
      </c>
      <c r="G1024" s="3" t="s">
        <v>1617</v>
      </c>
    </row>
    <row r="1025" spans="1:7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">
        <v>15</v>
      </c>
      <c r="F1025" s="3" t="s">
        <v>14</v>
      </c>
      <c r="G1025" s="3" t="s">
        <v>1615</v>
      </c>
    </row>
    <row r="1026" spans="1:7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">
        <v>29</v>
      </c>
      <c r="F1026" s="3" t="s">
        <v>17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v>0</v>
      </c>
      <c r="F1027" s="3">
        <v>0</v>
      </c>
      <c r="G1027" s="3" t="s">
        <v>1614</v>
      </c>
    </row>
    <row r="1028" spans="1:7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">
        <v>19</v>
      </c>
      <c r="F1028" s="3" t="s">
        <v>18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">
        <v>49</v>
      </c>
      <c r="F1029" s="3" t="s">
        <v>48</v>
      </c>
      <c r="G1029" s="3" t="s">
        <v>1614</v>
      </c>
    </row>
    <row r="1030" spans="1:7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">
        <v>29</v>
      </c>
      <c r="F1030" s="3" t="s">
        <v>17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">
        <v>9</v>
      </c>
      <c r="F1031" s="3" t="s">
        <v>64</v>
      </c>
      <c r="G1031" s="3" t="s">
        <v>1616</v>
      </c>
    </row>
    <row r="1032" spans="1:7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">
        <v>9</v>
      </c>
      <c r="F1032" s="3" t="s">
        <v>64</v>
      </c>
      <c r="G1032" s="3" t="s">
        <v>1615</v>
      </c>
    </row>
    <row r="1033" spans="1:7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">
        <v>9</v>
      </c>
      <c r="F1033" s="3" t="s">
        <v>64</v>
      </c>
      <c r="G1033" s="3" t="s">
        <v>1615</v>
      </c>
    </row>
    <row r="1034" spans="1:7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">
        <v>25</v>
      </c>
      <c r="F1034" s="3" t="s">
        <v>66</v>
      </c>
      <c r="G1034" s="3" t="s">
        <v>1613</v>
      </c>
    </row>
    <row r="1035" spans="1:7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">
        <v>40</v>
      </c>
      <c r="F1035" s="3" t="s">
        <v>39</v>
      </c>
      <c r="G1035" s="3" t="s">
        <v>1617</v>
      </c>
    </row>
    <row r="1036" spans="1:7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">
        <v>38</v>
      </c>
      <c r="F1036" s="3" t="s">
        <v>69</v>
      </c>
      <c r="G1036" s="3" t="s">
        <v>1617</v>
      </c>
    </row>
    <row r="1037" spans="1:7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">
        <v>45</v>
      </c>
      <c r="F1037" s="3" t="s">
        <v>71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">
        <v>53</v>
      </c>
      <c r="F1038" s="3" t="s">
        <v>53</v>
      </c>
      <c r="G1038" s="3">
        <v>0</v>
      </c>
    </row>
    <row r="1039" spans="1:7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">
        <v>36</v>
      </c>
      <c r="F1039" s="3" t="s">
        <v>68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">
        <v>53</v>
      </c>
      <c r="F1040" s="3" t="s">
        <v>53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">
        <v>31</v>
      </c>
      <c r="F1041" s="3" t="s">
        <v>31</v>
      </c>
      <c r="G1041" s="3">
        <v>0</v>
      </c>
    </row>
    <row r="1042" spans="1:7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">
        <v>25</v>
      </c>
      <c r="F1042" s="3" t="s">
        <v>66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">
        <v>9</v>
      </c>
      <c r="F1043" s="3" t="s">
        <v>64</v>
      </c>
      <c r="G1043" s="3" t="s">
        <v>1616</v>
      </c>
    </row>
    <row r="1044" spans="1:7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">
        <v>29</v>
      </c>
      <c r="F1044" s="3" t="s">
        <v>17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">
        <v>47</v>
      </c>
      <c r="F1045" s="3" t="s">
        <v>46</v>
      </c>
      <c r="G1045" s="3" t="s">
        <v>1616</v>
      </c>
    </row>
    <row r="1046" spans="1:7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">
        <v>19</v>
      </c>
      <c r="F1046" s="3" t="s">
        <v>18</v>
      </c>
      <c r="G1046" s="3" t="s">
        <v>1617</v>
      </c>
    </row>
    <row r="1047" spans="1:7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">
        <v>40</v>
      </c>
      <c r="F1047" s="3" t="s">
        <v>39</v>
      </c>
      <c r="G1047" s="3" t="s">
        <v>1617</v>
      </c>
    </row>
    <row r="1048" spans="1:7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">
        <v>33</v>
      </c>
      <c r="F1048" s="3">
        <v>0</v>
      </c>
      <c r="G1048" s="3" t="s">
        <v>1615</v>
      </c>
    </row>
    <row r="1049" spans="1:7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">
        <v>38</v>
      </c>
      <c r="F1049" s="3" t="s">
        <v>69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">
        <v>29</v>
      </c>
      <c r="F1050" s="3" t="s">
        <v>17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">
        <v>53</v>
      </c>
      <c r="F1051" s="3" t="s">
        <v>53</v>
      </c>
      <c r="G1051" s="3">
        <v>0</v>
      </c>
    </row>
    <row r="1052" spans="1:7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">
        <v>43</v>
      </c>
      <c r="F1052" s="3" t="s">
        <v>70</v>
      </c>
      <c r="G1052" s="3" t="s">
        <v>1617</v>
      </c>
    </row>
    <row r="1053" spans="1:7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">
        <v>29</v>
      </c>
      <c r="F1053" s="3" t="s">
        <v>17</v>
      </c>
      <c r="G1053" s="3" t="s">
        <v>1617</v>
      </c>
    </row>
    <row r="1054" spans="1:7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">
        <v>25</v>
      </c>
      <c r="F1054" s="3" t="s">
        <v>66</v>
      </c>
      <c r="G1054" s="3" t="s">
        <v>1617</v>
      </c>
    </row>
    <row r="1055" spans="1:7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">
        <v>9</v>
      </c>
      <c r="F1055" s="3" t="s">
        <v>64</v>
      </c>
      <c r="G1055" s="3" t="s">
        <v>1613</v>
      </c>
    </row>
    <row r="1056" spans="1:7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">
        <v>9</v>
      </c>
      <c r="F1056" s="3" t="s">
        <v>64</v>
      </c>
      <c r="G1056" s="3" t="s">
        <v>1617</v>
      </c>
    </row>
    <row r="1057" spans="1:7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">
        <v>33</v>
      </c>
      <c r="F1057" s="3">
        <v>0</v>
      </c>
      <c r="G1057" s="3" t="s">
        <v>1615</v>
      </c>
    </row>
    <row r="1058" spans="1:7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">
        <v>25</v>
      </c>
      <c r="F1058" s="3" t="s">
        <v>66</v>
      </c>
      <c r="G1058" s="3" t="s">
        <v>1617</v>
      </c>
    </row>
    <row r="1059" spans="1:7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">
        <v>23</v>
      </c>
      <c r="F1059" s="3" t="s">
        <v>65</v>
      </c>
      <c r="G1059" s="3" t="s">
        <v>1613</v>
      </c>
    </row>
    <row r="1060" spans="1:7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">
        <v>9</v>
      </c>
      <c r="F1060" s="3" t="s">
        <v>64</v>
      </c>
      <c r="G1060" s="3" t="s">
        <v>1613</v>
      </c>
    </row>
    <row r="1061" spans="1:7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">
        <v>9</v>
      </c>
      <c r="F1061" s="3" t="s">
        <v>64</v>
      </c>
      <c r="G1061" s="3" t="s">
        <v>1613</v>
      </c>
    </row>
    <row r="1062" spans="1:7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">
        <v>15</v>
      </c>
      <c r="F1062" s="3" t="s">
        <v>14</v>
      </c>
      <c r="G1062" s="3" t="s">
        <v>1615</v>
      </c>
    </row>
    <row r="1063" spans="1:7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">
        <v>9</v>
      </c>
      <c r="F1063" s="3" t="s">
        <v>64</v>
      </c>
      <c r="G1063" s="3" t="s">
        <v>1617</v>
      </c>
    </row>
    <row r="1064" spans="1:7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">
        <v>29</v>
      </c>
      <c r="F1064" s="3" t="s">
        <v>17</v>
      </c>
      <c r="G1064" s="3" t="s">
        <v>1617</v>
      </c>
    </row>
    <row r="1065" spans="1:7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">
        <v>15</v>
      </c>
      <c r="F1065" s="3" t="s">
        <v>14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">
        <v>23</v>
      </c>
      <c r="F1066" s="3" t="s">
        <v>65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">
        <v>9</v>
      </c>
      <c r="F1067" s="3" t="s">
        <v>64</v>
      </c>
      <c r="G1067" s="3" t="s">
        <v>1614</v>
      </c>
    </row>
    <row r="1068" spans="1:7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">
        <v>15</v>
      </c>
      <c r="F1068" s="3" t="s">
        <v>14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">
        <v>53</v>
      </c>
      <c r="F1069" s="3" t="s">
        <v>53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">
        <v>38</v>
      </c>
      <c r="F1070" s="3" t="s">
        <v>69</v>
      </c>
      <c r="G1070" s="3" t="s">
        <v>1616</v>
      </c>
    </row>
    <row r="1071" spans="1:7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">
        <v>25</v>
      </c>
      <c r="F1071" s="3" t="s">
        <v>66</v>
      </c>
      <c r="G1071" s="3" t="s">
        <v>1617</v>
      </c>
    </row>
    <row r="1072" spans="1:7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">
        <v>23</v>
      </c>
      <c r="F1072" s="3" t="s">
        <v>65</v>
      </c>
      <c r="G1072" s="3" t="s">
        <v>1613</v>
      </c>
    </row>
    <row r="1073" spans="1:7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">
        <v>33</v>
      </c>
      <c r="F1073" s="3">
        <v>0</v>
      </c>
      <c r="G1073" s="3" t="s">
        <v>1615</v>
      </c>
    </row>
    <row r="1074" spans="1:7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">
        <v>9</v>
      </c>
      <c r="F1074" s="3" t="s">
        <v>64</v>
      </c>
      <c r="G1074" s="3" t="s">
        <v>1615</v>
      </c>
    </row>
    <row r="1075" spans="1:7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">
        <v>9</v>
      </c>
      <c r="F1075" s="3" t="s">
        <v>64</v>
      </c>
      <c r="G1075" s="3" t="s">
        <v>1615</v>
      </c>
    </row>
    <row r="1076" spans="1:7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">
        <v>25</v>
      </c>
      <c r="F1076" s="3" t="s">
        <v>66</v>
      </c>
      <c r="G1076" s="3" t="s">
        <v>1615</v>
      </c>
    </row>
    <row r="1077" spans="1:7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">
        <v>25</v>
      </c>
      <c r="F1077" s="3" t="s">
        <v>66</v>
      </c>
      <c r="G1077" s="3" t="s">
        <v>1615</v>
      </c>
    </row>
    <row r="1078" spans="1:7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">
        <v>43</v>
      </c>
      <c r="F1078" s="3" t="s">
        <v>70</v>
      </c>
      <c r="G1078" s="3" t="s">
        <v>1617</v>
      </c>
    </row>
    <row r="1079" spans="1:7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">
        <v>9</v>
      </c>
      <c r="F1079" s="3" t="s">
        <v>64</v>
      </c>
      <c r="G1079" s="3" t="s">
        <v>1613</v>
      </c>
    </row>
    <row r="1080" spans="1:7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">
        <v>9</v>
      </c>
      <c r="F1080" s="3" t="s">
        <v>64</v>
      </c>
      <c r="G1080" s="3" t="s">
        <v>1615</v>
      </c>
    </row>
    <row r="1081" spans="1:7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">
        <v>47</v>
      </c>
      <c r="F1081" s="3" t="s">
        <v>46</v>
      </c>
      <c r="G1081" s="3" t="s">
        <v>1613</v>
      </c>
    </row>
    <row r="1082" spans="1:7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">
        <v>9</v>
      </c>
      <c r="F1082" s="3" t="s">
        <v>64</v>
      </c>
      <c r="G1082" s="3" t="s">
        <v>1617</v>
      </c>
    </row>
    <row r="1083" spans="1:7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">
        <v>43</v>
      </c>
      <c r="F1083" s="3" t="s">
        <v>70</v>
      </c>
      <c r="G1083" s="3" t="s">
        <v>1613</v>
      </c>
    </row>
    <row r="1084" spans="1:7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">
        <v>9</v>
      </c>
      <c r="F1084" s="3" t="s">
        <v>64</v>
      </c>
      <c r="G1084" s="3" t="s">
        <v>1615</v>
      </c>
    </row>
    <row r="1085" spans="1:7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">
        <v>9</v>
      </c>
      <c r="F1085" s="3" t="s">
        <v>64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">
        <v>47</v>
      </c>
      <c r="F1086" s="3" t="s">
        <v>46</v>
      </c>
      <c r="G1086" s="3" t="s">
        <v>1616</v>
      </c>
    </row>
    <row r="1087" spans="1:7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">
        <v>15</v>
      </c>
      <c r="F1087" s="3" t="s">
        <v>14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">
        <v>9</v>
      </c>
      <c r="F1088" s="3" t="s">
        <v>64</v>
      </c>
      <c r="G1088" s="3" t="s">
        <v>1614</v>
      </c>
    </row>
    <row r="1089" spans="1:7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">
        <v>43</v>
      </c>
      <c r="F1089" s="3" t="s">
        <v>70</v>
      </c>
      <c r="G1089" s="3" t="s">
        <v>1617</v>
      </c>
    </row>
    <row r="1090" spans="1:7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">
        <v>43</v>
      </c>
      <c r="F1090" s="3" t="s">
        <v>70</v>
      </c>
      <c r="G1090" s="3" t="s">
        <v>1615</v>
      </c>
    </row>
    <row r="1091" spans="1:7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">
        <v>15</v>
      </c>
      <c r="F1091" s="3" t="s">
        <v>14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">
        <v>9</v>
      </c>
      <c r="F1092" s="3" t="s">
        <v>64</v>
      </c>
      <c r="G1092" s="3" t="s">
        <v>1616</v>
      </c>
    </row>
    <row r="1093" spans="1:7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">
        <v>29</v>
      </c>
      <c r="F1093" s="3" t="s">
        <v>17</v>
      </c>
      <c r="G1093" s="3" t="s">
        <v>1615</v>
      </c>
    </row>
    <row r="1094" spans="1:7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">
        <v>9</v>
      </c>
      <c r="F1094" s="3" t="s">
        <v>64</v>
      </c>
      <c r="G1094" s="3" t="s">
        <v>1617</v>
      </c>
    </row>
    <row r="1095" spans="1:7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">
        <v>23</v>
      </c>
      <c r="F1095" s="3" t="s">
        <v>65</v>
      </c>
      <c r="G1095" s="3" t="s">
        <v>1613</v>
      </c>
    </row>
    <row r="1096" spans="1:7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">
        <v>9</v>
      </c>
      <c r="F1096" s="3" t="s">
        <v>64</v>
      </c>
      <c r="G1096" s="3" t="s">
        <v>1615</v>
      </c>
    </row>
    <row r="1097" spans="1:7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">
        <v>40</v>
      </c>
      <c r="F1097" s="3" t="s">
        <v>39</v>
      </c>
      <c r="G1097" s="3" t="s">
        <v>1615</v>
      </c>
    </row>
    <row r="1098" spans="1:7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">
        <v>43</v>
      </c>
      <c r="F1098" s="3" t="s">
        <v>70</v>
      </c>
      <c r="G1098" s="3" t="s">
        <v>1615</v>
      </c>
    </row>
    <row r="1099" spans="1:7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">
        <v>9</v>
      </c>
      <c r="F1099" s="3" t="s">
        <v>64</v>
      </c>
      <c r="G1099" s="3" t="s">
        <v>1615</v>
      </c>
    </row>
    <row r="1100" spans="1:7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">
        <v>45</v>
      </c>
      <c r="F1100" s="3" t="s">
        <v>71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">
        <v>31</v>
      </c>
      <c r="F1101" s="3" t="s">
        <v>31</v>
      </c>
      <c r="G1101" s="3" t="s">
        <v>1614</v>
      </c>
    </row>
    <row r="1102" spans="1:7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">
        <v>9</v>
      </c>
      <c r="F1102" s="3" t="s">
        <v>64</v>
      </c>
      <c r="G1102" s="3" t="s">
        <v>1617</v>
      </c>
    </row>
    <row r="1103" spans="1:7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">
        <v>29</v>
      </c>
      <c r="F1103" s="3" t="s">
        <v>17</v>
      </c>
      <c r="G1103" s="3" t="s">
        <v>1615</v>
      </c>
    </row>
    <row r="1104" spans="1:7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">
        <v>9</v>
      </c>
      <c r="F1104" s="3" t="s">
        <v>64</v>
      </c>
      <c r="G1104" s="3" t="s">
        <v>1613</v>
      </c>
    </row>
    <row r="1105" spans="1:7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">
        <v>9</v>
      </c>
      <c r="F1105" s="3" t="s">
        <v>64</v>
      </c>
      <c r="G1105" s="3" t="s">
        <v>1613</v>
      </c>
    </row>
    <row r="1106" spans="1:7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">
        <v>25</v>
      </c>
      <c r="F1106" s="3" t="s">
        <v>66</v>
      </c>
      <c r="G1106" s="3" t="s">
        <v>1617</v>
      </c>
    </row>
    <row r="1107" spans="1:7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">
        <v>9</v>
      </c>
      <c r="F1107" s="3" t="s">
        <v>64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">
        <v>29</v>
      </c>
      <c r="F1108" s="3" t="s">
        <v>17</v>
      </c>
      <c r="G1108" s="3" t="s">
        <v>1616</v>
      </c>
    </row>
    <row r="1109" spans="1:7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">
        <v>9</v>
      </c>
      <c r="F1109" s="3" t="s">
        <v>64</v>
      </c>
      <c r="G1109" s="3" t="s">
        <v>1617</v>
      </c>
    </row>
    <row r="1110" spans="1:7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">
        <v>45</v>
      </c>
      <c r="F1110" s="3" t="s">
        <v>71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">
        <v>31</v>
      </c>
      <c r="F1111" s="3" t="s">
        <v>31</v>
      </c>
      <c r="G1111" s="3" t="s">
        <v>1614</v>
      </c>
    </row>
    <row r="1112" spans="1:7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">
        <v>11</v>
      </c>
      <c r="F1112" s="3" t="s">
        <v>10</v>
      </c>
      <c r="G1112" s="3" t="s">
        <v>1615</v>
      </c>
    </row>
    <row r="1113" spans="1:7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">
        <v>9</v>
      </c>
      <c r="F1113" s="3" t="s">
        <v>64</v>
      </c>
      <c r="G1113" s="3" t="s">
        <v>1617</v>
      </c>
    </row>
    <row r="1114" spans="1:7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">
        <v>43</v>
      </c>
      <c r="F1114" s="3" t="s">
        <v>70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">
        <v>9</v>
      </c>
      <c r="F1115" s="3" t="s">
        <v>64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">
        <v>47</v>
      </c>
      <c r="F1116" s="3" t="s">
        <v>46</v>
      </c>
      <c r="G1116" s="3" t="s">
        <v>1614</v>
      </c>
    </row>
    <row r="1117" spans="1:7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">
        <v>21</v>
      </c>
      <c r="F1117" s="3" t="s">
        <v>21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">
        <v>43</v>
      </c>
      <c r="F1118" s="3" t="s">
        <v>70</v>
      </c>
      <c r="G1118" s="3" t="s">
        <v>1616</v>
      </c>
    </row>
    <row r="1119" spans="1:7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">
        <v>29</v>
      </c>
      <c r="F1119" s="3" t="s">
        <v>17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">
        <v>25</v>
      </c>
      <c r="F1120" s="3" t="s">
        <v>66</v>
      </c>
      <c r="G1120" s="3" t="s">
        <v>1616</v>
      </c>
    </row>
    <row r="1121" spans="1:7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">
        <v>25</v>
      </c>
      <c r="F1121" s="3" t="s">
        <v>66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">
        <v>29</v>
      </c>
      <c r="F1122" s="3" t="s">
        <v>17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">
        <v>31</v>
      </c>
      <c r="F1123" s="3" t="s">
        <v>31</v>
      </c>
      <c r="G1123" s="3">
        <v>0</v>
      </c>
    </row>
    <row r="1124" spans="1:7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">
        <v>29</v>
      </c>
      <c r="F1124" s="3" t="s">
        <v>17</v>
      </c>
      <c r="G1124" s="3" t="s">
        <v>1615</v>
      </c>
    </row>
    <row r="1125" spans="1:7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">
        <v>9</v>
      </c>
      <c r="F1125" s="3" t="s">
        <v>64</v>
      </c>
      <c r="G1125" s="3" t="s">
        <v>1613</v>
      </c>
    </row>
    <row r="1126" spans="1:7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">
        <v>25</v>
      </c>
      <c r="F1126" s="3" t="s">
        <v>66</v>
      </c>
      <c r="G1126" s="3" t="s">
        <v>1617</v>
      </c>
    </row>
    <row r="1127" spans="1:7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">
        <v>15</v>
      </c>
      <c r="F1127" s="3" t="s">
        <v>14</v>
      </c>
      <c r="G1127" s="3" t="s">
        <v>1617</v>
      </c>
    </row>
    <row r="1128" spans="1:7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">
        <v>19</v>
      </c>
      <c r="F1128" s="3" t="s">
        <v>18</v>
      </c>
      <c r="G1128" s="3" t="s">
        <v>1617</v>
      </c>
    </row>
    <row r="1129" spans="1:7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">
        <v>43</v>
      </c>
      <c r="F1129" s="3" t="s">
        <v>70</v>
      </c>
      <c r="G1129" s="3" t="s">
        <v>1613</v>
      </c>
    </row>
    <row r="1130" spans="1:7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">
        <v>43</v>
      </c>
      <c r="F1130" s="3" t="s">
        <v>70</v>
      </c>
      <c r="G1130" s="3" t="s">
        <v>1615</v>
      </c>
    </row>
    <row r="1131" spans="1:7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">
        <v>43</v>
      </c>
      <c r="F1131" s="3" t="s">
        <v>70</v>
      </c>
      <c r="G1131" s="3" t="s">
        <v>1613</v>
      </c>
    </row>
    <row r="1132" spans="1:7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">
        <v>9</v>
      </c>
      <c r="F1132" s="3" t="s">
        <v>64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">
        <v>29</v>
      </c>
      <c r="F1133" s="3" t="s">
        <v>17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">
        <v>31</v>
      </c>
      <c r="F1134" s="3" t="s">
        <v>31</v>
      </c>
      <c r="G1134" s="3">
        <v>0</v>
      </c>
    </row>
    <row r="1135" spans="1:7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">
        <v>9</v>
      </c>
      <c r="F1135" s="3" t="s">
        <v>64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">
        <v>33</v>
      </c>
      <c r="F1136" s="3">
        <v>0</v>
      </c>
      <c r="G1136" s="3" t="s">
        <v>1616</v>
      </c>
    </row>
    <row r="1137" spans="1:7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">
        <v>47</v>
      </c>
      <c r="F1137" s="3" t="s">
        <v>46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">
        <v>29</v>
      </c>
      <c r="F1138" s="3" t="s">
        <v>17</v>
      </c>
      <c r="G1138" s="3" t="s">
        <v>1616</v>
      </c>
    </row>
    <row r="1139" spans="1:7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">
        <v>9</v>
      </c>
      <c r="F1139" s="3" t="s">
        <v>64</v>
      </c>
      <c r="G1139" s="3" t="s">
        <v>1615</v>
      </c>
    </row>
    <row r="1140" spans="1:7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">
        <v>15</v>
      </c>
      <c r="F1140" s="3" t="s">
        <v>14</v>
      </c>
      <c r="G1140" s="3" t="s">
        <v>1617</v>
      </c>
    </row>
    <row r="1141" spans="1:7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">
        <v>23</v>
      </c>
      <c r="F1141" s="3" t="s">
        <v>65</v>
      </c>
      <c r="G1141" s="3" t="s">
        <v>1615</v>
      </c>
    </row>
    <row r="1142" spans="1:7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">
        <v>38</v>
      </c>
      <c r="F1142" s="3" t="s">
        <v>69</v>
      </c>
      <c r="G1142" s="3" t="s">
        <v>1615</v>
      </c>
    </row>
    <row r="1143" spans="1:7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">
        <v>43</v>
      </c>
      <c r="F1143" s="3" t="s">
        <v>70</v>
      </c>
      <c r="G1143" s="3" t="s">
        <v>1617</v>
      </c>
    </row>
    <row r="1144" spans="1:7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">
        <v>27</v>
      </c>
      <c r="F1144" s="3" t="s">
        <v>67</v>
      </c>
      <c r="G1144" s="3" t="s">
        <v>1617</v>
      </c>
    </row>
    <row r="1145" spans="1:7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">
        <v>9</v>
      </c>
      <c r="F1145" s="3" t="s">
        <v>64</v>
      </c>
      <c r="G1145" s="3" t="s">
        <v>1613</v>
      </c>
    </row>
    <row r="1146" spans="1:7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">
        <v>15</v>
      </c>
      <c r="F1146" s="3" t="s">
        <v>14</v>
      </c>
      <c r="G1146" s="3" t="s">
        <v>1617</v>
      </c>
    </row>
    <row r="1147" spans="1:7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">
        <v>9</v>
      </c>
      <c r="F1147" s="3" t="s">
        <v>64</v>
      </c>
      <c r="G1147" s="3" t="s">
        <v>1617</v>
      </c>
    </row>
    <row r="1148" spans="1:7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">
        <v>40</v>
      </c>
      <c r="F1148" s="3" t="s">
        <v>39</v>
      </c>
      <c r="G1148" s="3" t="s">
        <v>1617</v>
      </c>
    </row>
    <row r="1149" spans="1:7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">
        <v>23</v>
      </c>
      <c r="F1149" s="3" t="s">
        <v>65</v>
      </c>
      <c r="G1149" s="3" t="s">
        <v>1617</v>
      </c>
    </row>
    <row r="1150" spans="1:7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">
        <v>29</v>
      </c>
      <c r="F1150" s="3" t="s">
        <v>17</v>
      </c>
      <c r="G1150" s="3" t="s">
        <v>1615</v>
      </c>
    </row>
    <row r="1151" spans="1:7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">
        <v>43</v>
      </c>
      <c r="F1151" s="3" t="s">
        <v>70</v>
      </c>
      <c r="G1151" s="3" t="s">
        <v>1613</v>
      </c>
    </row>
    <row r="1152" spans="1:7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">
        <v>25</v>
      </c>
      <c r="F1152" s="3" t="s">
        <v>66</v>
      </c>
      <c r="G1152" s="3" t="s">
        <v>1613</v>
      </c>
    </row>
    <row r="1153" spans="1:7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">
        <v>33</v>
      </c>
      <c r="F1153" s="3">
        <v>0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">
        <v>53</v>
      </c>
      <c r="F1154" s="3" t="s">
        <v>53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">
        <v>31</v>
      </c>
      <c r="F1155" s="3" t="s">
        <v>31</v>
      </c>
      <c r="G1155" s="3" t="s">
        <v>1614</v>
      </c>
    </row>
    <row r="1156" spans="1:7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">
        <v>25</v>
      </c>
      <c r="F1156" s="3" t="s">
        <v>66</v>
      </c>
      <c r="G1156" s="3" t="s">
        <v>1617</v>
      </c>
    </row>
    <row r="1157" spans="1:7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">
        <v>33</v>
      </c>
      <c r="F1157" s="3">
        <v>0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">
        <v>53</v>
      </c>
      <c r="F1158" s="3" t="s">
        <v>53</v>
      </c>
      <c r="G1158" s="3">
        <v>0</v>
      </c>
    </row>
    <row r="1159" spans="1:7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">
        <v>43</v>
      </c>
      <c r="F1159" s="3" t="s">
        <v>70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">
        <v>40</v>
      </c>
      <c r="F1160" s="3" t="s">
        <v>39</v>
      </c>
      <c r="G1160" s="3" t="s">
        <v>1616</v>
      </c>
    </row>
    <row r="1161" spans="1:7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">
        <v>29</v>
      </c>
      <c r="F1161" s="3" t="s">
        <v>17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">
        <v>9</v>
      </c>
      <c r="F1162" s="3" t="s">
        <v>64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">
        <v>52</v>
      </c>
      <c r="F1163" s="3" t="s">
        <v>51</v>
      </c>
      <c r="G1163" s="3" t="s">
        <v>1614</v>
      </c>
    </row>
    <row r="1164" spans="1:7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">
        <v>25</v>
      </c>
      <c r="F1164" s="3" t="s">
        <v>66</v>
      </c>
      <c r="G1164" s="3" t="s">
        <v>1617</v>
      </c>
    </row>
    <row r="1165" spans="1:7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">
        <v>9</v>
      </c>
      <c r="F1165" s="3" t="s">
        <v>64</v>
      </c>
      <c r="G1165" s="3" t="s">
        <v>1617</v>
      </c>
    </row>
    <row r="1166" spans="1:7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">
        <v>9</v>
      </c>
      <c r="F1166" s="3" t="s">
        <v>64</v>
      </c>
      <c r="G1166" s="3" t="s">
        <v>1613</v>
      </c>
    </row>
    <row r="1167" spans="1:7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">
        <v>9</v>
      </c>
      <c r="F1167" s="3" t="s">
        <v>64</v>
      </c>
      <c r="G1167" s="3" t="s">
        <v>1617</v>
      </c>
    </row>
    <row r="1168" spans="1:7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">
        <v>38</v>
      </c>
      <c r="F1168" s="3" t="s">
        <v>69</v>
      </c>
      <c r="G1168" s="3" t="s">
        <v>1613</v>
      </c>
    </row>
    <row r="1169" spans="1:7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">
        <v>33</v>
      </c>
      <c r="F1169" s="3">
        <v>0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">
        <v>29</v>
      </c>
      <c r="F1170" s="3" t="s">
        <v>17</v>
      </c>
      <c r="G1170" s="3" t="s">
        <v>1616</v>
      </c>
    </row>
    <row r="1171" spans="1:7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">
        <v>9</v>
      </c>
      <c r="F1171" s="3" t="s">
        <v>64</v>
      </c>
      <c r="G1171" s="3" t="s">
        <v>1613</v>
      </c>
    </row>
    <row r="1172" spans="1:7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">
        <v>38</v>
      </c>
      <c r="F1172" s="3" t="s">
        <v>69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">
        <v>23</v>
      </c>
      <c r="F1173" s="3" t="s">
        <v>65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">
        <v>53</v>
      </c>
      <c r="F1174" s="3" t="s">
        <v>53</v>
      </c>
      <c r="G1174" s="3">
        <v>0</v>
      </c>
    </row>
    <row r="1175" spans="1:7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">
        <v>25</v>
      </c>
      <c r="F1175" s="3" t="s">
        <v>66</v>
      </c>
      <c r="G1175" s="3" t="s">
        <v>1613</v>
      </c>
    </row>
    <row r="1176" spans="1:7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">
        <v>40</v>
      </c>
      <c r="F1176" s="3" t="s">
        <v>39</v>
      </c>
      <c r="G1176" s="3" t="s">
        <v>1617</v>
      </c>
    </row>
    <row r="1177" spans="1:7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">
        <v>25</v>
      </c>
      <c r="F1177" s="3" t="s">
        <v>66</v>
      </c>
      <c r="G1177" s="3" t="s">
        <v>1613</v>
      </c>
    </row>
    <row r="1178" spans="1:7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">
        <v>9</v>
      </c>
      <c r="F1178" s="3" t="s">
        <v>64</v>
      </c>
      <c r="G1178" s="3" t="s">
        <v>1617</v>
      </c>
    </row>
    <row r="1179" spans="1:7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">
        <v>23</v>
      </c>
      <c r="F1179" s="3" t="s">
        <v>65</v>
      </c>
      <c r="G1179" s="3" t="s">
        <v>1617</v>
      </c>
    </row>
    <row r="1180" spans="1:7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">
        <v>29</v>
      </c>
      <c r="F1180" s="3" t="s">
        <v>17</v>
      </c>
      <c r="G1180" s="3" t="s">
        <v>1613</v>
      </c>
    </row>
    <row r="1181" spans="1:7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">
        <v>9</v>
      </c>
      <c r="F1181" s="3" t="s">
        <v>64</v>
      </c>
      <c r="G1181" s="3" t="s">
        <v>1615</v>
      </c>
    </row>
    <row r="1182" spans="1:7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">
        <v>40</v>
      </c>
      <c r="F1182" s="3" t="s">
        <v>39</v>
      </c>
      <c r="G1182" s="3" t="s">
        <v>1615</v>
      </c>
    </row>
    <row r="1183" spans="1:7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">
        <v>9</v>
      </c>
      <c r="F1183" s="3" t="s">
        <v>64</v>
      </c>
      <c r="G1183" s="3" t="s">
        <v>1615</v>
      </c>
    </row>
    <row r="1184" spans="1:7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">
        <v>9</v>
      </c>
      <c r="F1184" s="3" t="s">
        <v>64</v>
      </c>
      <c r="G1184" s="3" t="s">
        <v>1613</v>
      </c>
    </row>
    <row r="1185" spans="1:7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">
        <v>25</v>
      </c>
      <c r="F1185" s="3" t="s">
        <v>66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">
        <v>25</v>
      </c>
      <c r="F1186" s="3" t="s">
        <v>66</v>
      </c>
      <c r="G1186" s="3" t="s">
        <v>1616</v>
      </c>
    </row>
    <row r="1187" spans="1:7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">
        <v>25</v>
      </c>
      <c r="F1187" s="3" t="s">
        <v>66</v>
      </c>
      <c r="G1187" s="3" t="s">
        <v>1615</v>
      </c>
    </row>
    <row r="1188" spans="1:7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">
        <v>9</v>
      </c>
      <c r="F1188" s="3" t="s">
        <v>64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">
        <v>57</v>
      </c>
      <c r="F1189" s="3" t="s">
        <v>72</v>
      </c>
      <c r="G1189" s="3" t="s">
        <v>1616</v>
      </c>
    </row>
    <row r="1190" spans="1:7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">
        <v>38</v>
      </c>
      <c r="F1190" s="3" t="s">
        <v>69</v>
      </c>
      <c r="G1190" s="3" t="s">
        <v>1617</v>
      </c>
    </row>
    <row r="1191" spans="1:7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">
        <v>43</v>
      </c>
      <c r="F1191" s="3" t="s">
        <v>70</v>
      </c>
      <c r="G1191" s="3" t="s">
        <v>1617</v>
      </c>
    </row>
    <row r="1192" spans="1:7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">
        <v>43</v>
      </c>
      <c r="F1192" s="3" t="s">
        <v>70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">
        <v>47</v>
      </c>
      <c r="F1193" s="3" t="s">
        <v>46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v>0</v>
      </c>
      <c r="F1194" s="3">
        <v>0</v>
      </c>
      <c r="G1194" s="3" t="s">
        <v>1614</v>
      </c>
    </row>
    <row r="1195" spans="1:7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">
        <v>9</v>
      </c>
      <c r="F1195" s="3" t="s">
        <v>64</v>
      </c>
      <c r="G1195" s="3" t="s">
        <v>1615</v>
      </c>
    </row>
    <row r="1196" spans="1:7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">
        <v>33</v>
      </c>
      <c r="F1196" s="3">
        <v>0</v>
      </c>
      <c r="G1196" s="3" t="s">
        <v>1615</v>
      </c>
    </row>
    <row r="1197" spans="1:7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">
        <v>9</v>
      </c>
      <c r="F1197" s="3" t="s">
        <v>64</v>
      </c>
      <c r="G1197" s="3" t="s">
        <v>1617</v>
      </c>
    </row>
    <row r="1198" spans="1:7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">
        <v>19</v>
      </c>
      <c r="F1198" s="3" t="s">
        <v>18</v>
      </c>
      <c r="G1198" s="3" t="s">
        <v>1617</v>
      </c>
    </row>
    <row r="1199" spans="1:7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">
        <v>19</v>
      </c>
      <c r="F1199" s="3" t="s">
        <v>18</v>
      </c>
      <c r="G1199" s="3" t="s">
        <v>1615</v>
      </c>
    </row>
    <row r="1200" spans="1:7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">
        <v>19</v>
      </c>
      <c r="F1200" s="3" t="s">
        <v>18</v>
      </c>
      <c r="G1200" s="3" t="s">
        <v>1617</v>
      </c>
    </row>
    <row r="1201" spans="1:7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">
        <v>25</v>
      </c>
      <c r="F1201" s="3" t="s">
        <v>66</v>
      </c>
      <c r="G1201" s="3" t="s">
        <v>1613</v>
      </c>
    </row>
    <row r="1202" spans="1:7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">
        <v>19</v>
      </c>
      <c r="F1202" s="3" t="s">
        <v>18</v>
      </c>
      <c r="G1202" s="3" t="s">
        <v>1615</v>
      </c>
    </row>
    <row r="1203" spans="1:7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">
        <v>25</v>
      </c>
      <c r="F1203" s="3" t="s">
        <v>66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">
        <v>21</v>
      </c>
      <c r="F1204" s="3" t="s">
        <v>21</v>
      </c>
      <c r="G1204" s="3" t="s">
        <v>1616</v>
      </c>
    </row>
    <row r="1205" spans="1:7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">
        <v>15</v>
      </c>
      <c r="F1205" s="3" t="s">
        <v>14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">
        <v>31</v>
      </c>
      <c r="F1206" s="3" t="s">
        <v>31</v>
      </c>
      <c r="G1206" s="3" t="s">
        <v>1614</v>
      </c>
    </row>
    <row r="1207" spans="1:7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">
        <v>25</v>
      </c>
      <c r="F1207" s="3" t="s">
        <v>66</v>
      </c>
      <c r="G1207" s="3" t="s">
        <v>1615</v>
      </c>
    </row>
    <row r="1208" spans="1:7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">
        <v>43</v>
      </c>
      <c r="F1208" s="3" t="s">
        <v>70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v>0</v>
      </c>
      <c r="F1209" s="3">
        <v>0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">
        <v>38</v>
      </c>
      <c r="F1210" s="3" t="s">
        <v>69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">
        <v>27</v>
      </c>
      <c r="F1211" s="3" t="s">
        <v>67</v>
      </c>
      <c r="G1211" s="3" t="s">
        <v>1614</v>
      </c>
    </row>
    <row r="1212" spans="1:7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">
        <v>11</v>
      </c>
      <c r="F1212" s="3" t="s">
        <v>10</v>
      </c>
      <c r="G1212" s="3" t="s">
        <v>1615</v>
      </c>
    </row>
    <row r="1213" spans="1:7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">
        <v>43</v>
      </c>
      <c r="F1213" s="3" t="s">
        <v>70</v>
      </c>
      <c r="G1213" s="3" t="s">
        <v>1617</v>
      </c>
    </row>
    <row r="1214" spans="1:7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">
        <v>25</v>
      </c>
      <c r="F1214" s="3" t="s">
        <v>66</v>
      </c>
      <c r="G1214" s="3" t="s">
        <v>1613</v>
      </c>
    </row>
    <row r="1215" spans="1:7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">
        <v>43</v>
      </c>
      <c r="F1215" s="3" t="s">
        <v>70</v>
      </c>
      <c r="G1215" s="3" t="s">
        <v>1617</v>
      </c>
    </row>
    <row r="1216" spans="1:7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">
        <v>9</v>
      </c>
      <c r="F1216" s="3" t="s">
        <v>64</v>
      </c>
      <c r="G1216" s="3" t="s">
        <v>1617</v>
      </c>
    </row>
    <row r="1217" spans="1:7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">
        <v>27</v>
      </c>
      <c r="F1217" s="3" t="s">
        <v>67</v>
      </c>
      <c r="G1217" s="3" t="s">
        <v>1617</v>
      </c>
    </row>
    <row r="1218" spans="1:7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">
        <v>9</v>
      </c>
      <c r="F1218" s="3" t="s">
        <v>64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">
        <v>21</v>
      </c>
      <c r="F1219" s="3" t="s">
        <v>21</v>
      </c>
      <c r="G1219" s="3" t="s">
        <v>1616</v>
      </c>
    </row>
    <row r="1220" spans="1:7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">
        <v>38</v>
      </c>
      <c r="F1220" s="3" t="s">
        <v>69</v>
      </c>
      <c r="G1220" s="3" t="s">
        <v>1613</v>
      </c>
    </row>
    <row r="1221" spans="1:7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">
        <v>9</v>
      </c>
      <c r="F1221" s="3" t="s">
        <v>64</v>
      </c>
      <c r="G1221" s="3" t="s">
        <v>1615</v>
      </c>
    </row>
    <row r="1222" spans="1:7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">
        <v>29</v>
      </c>
      <c r="F1222" s="3" t="s">
        <v>17</v>
      </c>
      <c r="G1222" s="3" t="s">
        <v>1615</v>
      </c>
    </row>
    <row r="1223" spans="1:7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">
        <v>9</v>
      </c>
      <c r="F1223" s="3" t="s">
        <v>64</v>
      </c>
      <c r="G1223" s="3" t="s">
        <v>1613</v>
      </c>
    </row>
    <row r="1224" spans="1:7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">
        <v>25</v>
      </c>
      <c r="F1224" s="3" t="s">
        <v>66</v>
      </c>
      <c r="G1224" s="3" t="s">
        <v>1615</v>
      </c>
    </row>
    <row r="1225" spans="1:7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">
        <v>25</v>
      </c>
      <c r="F1225" s="3" t="s">
        <v>66</v>
      </c>
      <c r="G1225" s="3" t="s">
        <v>1613</v>
      </c>
    </row>
    <row r="1226" spans="1:7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">
        <v>9</v>
      </c>
      <c r="F1226" s="3" t="s">
        <v>64</v>
      </c>
      <c r="G1226" s="3" t="s">
        <v>1613</v>
      </c>
    </row>
    <row r="1227" spans="1:7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">
        <v>23</v>
      </c>
      <c r="F1227" s="3" t="s">
        <v>65</v>
      </c>
      <c r="G1227" s="3" t="s">
        <v>1615</v>
      </c>
    </row>
    <row r="1228" spans="1:7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">
        <v>38</v>
      </c>
      <c r="F1228" s="3" t="s">
        <v>69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">
        <v>25</v>
      </c>
      <c r="F1229" s="3" t="s">
        <v>66</v>
      </c>
      <c r="G1229" s="3" t="s">
        <v>1616</v>
      </c>
    </row>
    <row r="1230" spans="1:7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">
        <v>9</v>
      </c>
      <c r="F1230" s="3" t="s">
        <v>64</v>
      </c>
      <c r="G1230" s="3" t="s">
        <v>1615</v>
      </c>
    </row>
    <row r="1231" spans="1:7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">
        <v>9</v>
      </c>
      <c r="F1231" s="3" t="s">
        <v>64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">
        <v>23</v>
      </c>
      <c r="F1232" s="3" t="s">
        <v>65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">
        <v>40</v>
      </c>
      <c r="F1233" s="3" t="s">
        <v>39</v>
      </c>
      <c r="G1233" s="3" t="s">
        <v>1616</v>
      </c>
    </row>
    <row r="1234" spans="1:7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">
        <v>9</v>
      </c>
      <c r="F1234" s="3" t="s">
        <v>64</v>
      </c>
      <c r="G1234" s="3" t="s">
        <v>1617</v>
      </c>
    </row>
    <row r="1235" spans="1:7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">
        <v>19</v>
      </c>
      <c r="F1235" s="3" t="s">
        <v>18</v>
      </c>
      <c r="G1235" s="3" t="s">
        <v>1613</v>
      </c>
    </row>
    <row r="1236" spans="1:7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">
        <v>33</v>
      </c>
      <c r="F1236" s="3">
        <v>0</v>
      </c>
      <c r="G1236" s="3" t="s">
        <v>1615</v>
      </c>
    </row>
    <row r="1237" spans="1:7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">
        <v>9</v>
      </c>
      <c r="F1237" s="3" t="s">
        <v>64</v>
      </c>
      <c r="G1237" s="3" t="s">
        <v>1615</v>
      </c>
    </row>
    <row r="1238" spans="1:7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">
        <v>43</v>
      </c>
      <c r="F1238" s="3" t="s">
        <v>70</v>
      </c>
      <c r="G1238" s="3" t="s">
        <v>1617</v>
      </c>
    </row>
    <row r="1239" spans="1:7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">
        <v>9</v>
      </c>
      <c r="F1239" s="3" t="s">
        <v>64</v>
      </c>
      <c r="G1239" s="3" t="s">
        <v>1617</v>
      </c>
    </row>
    <row r="1240" spans="1:7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">
        <v>38</v>
      </c>
      <c r="F1240" s="3" t="s">
        <v>69</v>
      </c>
      <c r="G1240" s="3" t="s">
        <v>1613</v>
      </c>
    </row>
    <row r="1241" spans="1:7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">
        <v>43</v>
      </c>
      <c r="F1241" s="3" t="s">
        <v>70</v>
      </c>
      <c r="G1241" s="3" t="s">
        <v>1615</v>
      </c>
    </row>
    <row r="1242" spans="1:7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">
        <v>15</v>
      </c>
      <c r="F1242" s="3" t="s">
        <v>14</v>
      </c>
      <c r="G1242" s="3" t="s">
        <v>1617</v>
      </c>
    </row>
    <row r="1243" spans="1:7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">
        <v>9</v>
      </c>
      <c r="F1243" s="3" t="s">
        <v>64</v>
      </c>
      <c r="G1243" s="3" t="s">
        <v>1615</v>
      </c>
    </row>
    <row r="1244" spans="1:7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">
        <v>57</v>
      </c>
      <c r="F1244" s="3" t="s">
        <v>72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">
        <v>9</v>
      </c>
      <c r="F1245" s="3" t="s">
        <v>64</v>
      </c>
      <c r="G1245" s="3" t="s">
        <v>1616</v>
      </c>
    </row>
    <row r="1246" spans="1:7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">
        <v>25</v>
      </c>
      <c r="F1246" s="3" t="s">
        <v>66</v>
      </c>
      <c r="G1246" s="3" t="s">
        <v>1613</v>
      </c>
    </row>
    <row r="1247" spans="1:7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">
        <v>9</v>
      </c>
      <c r="F1247" s="3" t="s">
        <v>64</v>
      </c>
      <c r="G1247" s="3" t="s">
        <v>1613</v>
      </c>
    </row>
    <row r="1248" spans="1:7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">
        <v>9</v>
      </c>
      <c r="F1248" s="3" t="s">
        <v>64</v>
      </c>
      <c r="G1248" s="3" t="s">
        <v>1617</v>
      </c>
    </row>
    <row r="1249" spans="1:7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">
        <v>23</v>
      </c>
      <c r="F1249" s="3" t="s">
        <v>65</v>
      </c>
      <c r="G1249" s="3" t="s">
        <v>1613</v>
      </c>
    </row>
    <row r="1250" spans="1:7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">
        <v>15</v>
      </c>
      <c r="F1250" s="3" t="s">
        <v>14</v>
      </c>
      <c r="G1250" s="3" t="s">
        <v>1615</v>
      </c>
    </row>
    <row r="1251" spans="1:7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">
        <v>29</v>
      </c>
      <c r="F1251" s="3" t="s">
        <v>17</v>
      </c>
      <c r="G1251" s="3" t="s">
        <v>1613</v>
      </c>
    </row>
    <row r="1252" spans="1:7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">
        <v>43</v>
      </c>
      <c r="F1252" s="3" t="s">
        <v>70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">
        <v>15</v>
      </c>
      <c r="F1253" s="3" t="s">
        <v>14</v>
      </c>
      <c r="G1253" s="3" t="s">
        <v>1614</v>
      </c>
    </row>
    <row r="1254" spans="1:7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">
        <v>25</v>
      </c>
      <c r="F1254" s="3" t="s">
        <v>66</v>
      </c>
      <c r="G1254" s="3" t="s">
        <v>1615</v>
      </c>
    </row>
    <row r="1255" spans="1:7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">
        <v>29</v>
      </c>
      <c r="F1255" s="3" t="s">
        <v>17</v>
      </c>
      <c r="G1255" s="3" t="s">
        <v>1615</v>
      </c>
    </row>
    <row r="1256" spans="1:7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">
        <v>25</v>
      </c>
      <c r="F1256" s="3" t="s">
        <v>66</v>
      </c>
      <c r="G1256" s="3" t="s">
        <v>1613</v>
      </c>
    </row>
    <row r="1257" spans="1:7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">
        <v>25</v>
      </c>
      <c r="F1257" s="3" t="s">
        <v>66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">
        <v>9</v>
      </c>
      <c r="F1258" s="3" t="s">
        <v>64</v>
      </c>
      <c r="G1258" s="3" t="s">
        <v>1616</v>
      </c>
    </row>
    <row r="1259" spans="1:7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">
        <v>15</v>
      </c>
      <c r="F1259" s="3" t="s">
        <v>14</v>
      </c>
      <c r="G1259" s="3" t="s">
        <v>1617</v>
      </c>
    </row>
    <row r="1260" spans="1:7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">
        <v>25</v>
      </c>
      <c r="F1260" s="3" t="s">
        <v>66</v>
      </c>
      <c r="G1260" s="3" t="s">
        <v>1613</v>
      </c>
    </row>
    <row r="1261" spans="1:7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">
        <v>47</v>
      </c>
      <c r="F1261" s="3" t="s">
        <v>46</v>
      </c>
      <c r="G1261" s="3" t="s">
        <v>1615</v>
      </c>
    </row>
    <row r="1262" spans="1:7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">
        <v>9</v>
      </c>
      <c r="F1262" s="3" t="s">
        <v>64</v>
      </c>
      <c r="G1262" s="3" t="s">
        <v>1617</v>
      </c>
    </row>
    <row r="1263" spans="1:7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">
        <v>29</v>
      </c>
      <c r="F1263" s="3" t="s">
        <v>17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">
        <v>36</v>
      </c>
      <c r="F1264" s="3" t="s">
        <v>68</v>
      </c>
      <c r="G1264" s="3" t="s">
        <v>1614</v>
      </c>
    </row>
    <row r="1265" spans="1:7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">
        <v>9</v>
      </c>
      <c r="F1265" s="3" t="s">
        <v>64</v>
      </c>
      <c r="G1265" s="3" t="s">
        <v>1617</v>
      </c>
    </row>
    <row r="1266" spans="1:7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">
        <v>9</v>
      </c>
      <c r="F1266" s="3" t="s">
        <v>64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">
        <v>29</v>
      </c>
      <c r="F1267" s="3" t="s">
        <v>17</v>
      </c>
      <c r="G1267" s="3" t="s">
        <v>1616</v>
      </c>
    </row>
    <row r="1268" spans="1:7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">
        <v>9</v>
      </c>
      <c r="F1268" s="3" t="s">
        <v>64</v>
      </c>
      <c r="G1268" s="3" t="s">
        <v>1615</v>
      </c>
    </row>
    <row r="1269" spans="1:7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">
        <v>40</v>
      </c>
      <c r="F1269" s="3" t="s">
        <v>39</v>
      </c>
      <c r="G1269" s="3" t="s">
        <v>1617</v>
      </c>
    </row>
    <row r="1270" spans="1:7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">
        <v>23</v>
      </c>
      <c r="F1270" s="3" t="s">
        <v>65</v>
      </c>
      <c r="G1270" s="3" t="s">
        <v>1613</v>
      </c>
    </row>
    <row r="1271" spans="1:7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">
        <v>9</v>
      </c>
      <c r="F1271" s="3" t="s">
        <v>64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">
        <v>40</v>
      </c>
      <c r="F1272" s="3" t="s">
        <v>39</v>
      </c>
      <c r="G1272" s="3" t="s">
        <v>1614</v>
      </c>
    </row>
    <row r="1273" spans="1:7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">
        <v>15</v>
      </c>
      <c r="F1273" s="3" t="s">
        <v>14</v>
      </c>
      <c r="G1273" s="3" t="s">
        <v>1617</v>
      </c>
    </row>
    <row r="1274" spans="1:7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">
        <v>40</v>
      </c>
      <c r="F1274" s="3" t="s">
        <v>39</v>
      </c>
      <c r="G1274" s="3" t="s">
        <v>1617</v>
      </c>
    </row>
    <row r="1275" spans="1:7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">
        <v>9</v>
      </c>
      <c r="F1275" s="3" t="s">
        <v>64</v>
      </c>
      <c r="G1275" s="3" t="s">
        <v>1613</v>
      </c>
    </row>
    <row r="1276" spans="1:7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">
        <v>29</v>
      </c>
      <c r="F1276" s="3" t="s">
        <v>17</v>
      </c>
      <c r="G1276" s="3" t="s">
        <v>1615</v>
      </c>
    </row>
    <row r="1277" spans="1:7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">
        <v>15</v>
      </c>
      <c r="F1277" s="3" t="s">
        <v>14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">
        <v>9</v>
      </c>
      <c r="F1278" s="3" t="s">
        <v>64</v>
      </c>
      <c r="G1278" s="3" t="s">
        <v>1614</v>
      </c>
    </row>
    <row r="1279" spans="1:7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">
        <v>29</v>
      </c>
      <c r="F1279" s="3" t="s">
        <v>17</v>
      </c>
      <c r="G1279" s="3" t="s">
        <v>1615</v>
      </c>
    </row>
    <row r="1280" spans="1:7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">
        <v>47</v>
      </c>
      <c r="F1280" s="3" t="s">
        <v>46</v>
      </c>
      <c r="G1280" s="3" t="s">
        <v>1613</v>
      </c>
    </row>
    <row r="1281" spans="1:7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">
        <v>19</v>
      </c>
      <c r="F1281" s="3" t="s">
        <v>18</v>
      </c>
      <c r="G1281" s="3" t="s">
        <v>1617</v>
      </c>
    </row>
    <row r="1282" spans="1:7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">
        <v>29</v>
      </c>
      <c r="F1282" s="3" t="s">
        <v>17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">
        <v>53</v>
      </c>
      <c r="F1283" s="3" t="s">
        <v>53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">
        <v>9</v>
      </c>
      <c r="F1284" s="3" t="s">
        <v>64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">
        <v>45</v>
      </c>
      <c r="F1285" s="3" t="s">
        <v>71</v>
      </c>
      <c r="G1285" s="3" t="s">
        <v>1614</v>
      </c>
    </row>
    <row r="1286" spans="1:7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">
        <v>29</v>
      </c>
      <c r="F1286" s="3" t="s">
        <v>17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">
        <v>31</v>
      </c>
      <c r="F1287" s="3" t="s">
        <v>31</v>
      </c>
      <c r="G1287" s="3" t="s">
        <v>1616</v>
      </c>
    </row>
    <row r="1288" spans="1:7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">
        <v>38</v>
      </c>
      <c r="F1288" s="3" t="s">
        <v>69</v>
      </c>
      <c r="G1288" s="3" t="s">
        <v>1613</v>
      </c>
    </row>
    <row r="1289" spans="1:7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">
        <v>43</v>
      </c>
      <c r="F1289" s="3" t="s">
        <v>70</v>
      </c>
      <c r="G1289" s="3" t="s">
        <v>1613</v>
      </c>
    </row>
    <row r="1290" spans="1:7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">
        <v>29</v>
      </c>
      <c r="F1290" s="3" t="s">
        <v>17</v>
      </c>
      <c r="G1290" s="3" t="s">
        <v>1615</v>
      </c>
    </row>
    <row r="1291" spans="1:7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">
        <v>38</v>
      </c>
      <c r="F1291" s="3" t="s">
        <v>69</v>
      </c>
      <c r="G1291" s="3" t="s">
        <v>1617</v>
      </c>
    </row>
    <row r="1292" spans="1:7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">
        <v>9</v>
      </c>
      <c r="F1292" s="3" t="s">
        <v>64</v>
      </c>
      <c r="G1292" s="3" t="s">
        <v>1615</v>
      </c>
    </row>
    <row r="1293" spans="1:7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">
        <v>25</v>
      </c>
      <c r="F1293" s="3" t="s">
        <v>66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">
        <v>43</v>
      </c>
      <c r="F1294" s="3" t="s">
        <v>70</v>
      </c>
      <c r="G1294" s="3" t="s">
        <v>1616</v>
      </c>
    </row>
    <row r="1295" spans="1:7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">
        <v>25</v>
      </c>
      <c r="F1295" s="3" t="s">
        <v>66</v>
      </c>
      <c r="G1295" s="3" t="s">
        <v>1613</v>
      </c>
    </row>
    <row r="1296" spans="1:7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">
        <v>36</v>
      </c>
      <c r="F1296" s="3" t="s">
        <v>68</v>
      </c>
      <c r="G1296" s="3" t="s">
        <v>1617</v>
      </c>
    </row>
    <row r="1297" spans="1:7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">
        <v>25</v>
      </c>
      <c r="F1297" s="3" t="s">
        <v>66</v>
      </c>
      <c r="G1297" s="3" t="s">
        <v>1615</v>
      </c>
    </row>
    <row r="1298" spans="1:7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">
        <v>9</v>
      </c>
      <c r="F1298" s="3" t="s">
        <v>64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">
        <v>15</v>
      </c>
      <c r="F1299" s="3" t="s">
        <v>14</v>
      </c>
      <c r="G1299" s="3" t="s">
        <v>1616</v>
      </c>
    </row>
    <row r="1300" spans="1:7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">
        <v>25</v>
      </c>
      <c r="F1300" s="3" t="s">
        <v>66</v>
      </c>
      <c r="G1300" s="3" t="s">
        <v>1613</v>
      </c>
    </row>
    <row r="1301" spans="1:7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">
        <v>33</v>
      </c>
      <c r="F1301" s="3">
        <v>0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">
        <v>53</v>
      </c>
      <c r="F1302" s="3" t="s">
        <v>53</v>
      </c>
      <c r="G1302" s="3">
        <v>0</v>
      </c>
    </row>
    <row r="1303" spans="1:7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">
        <v>43</v>
      </c>
      <c r="F1303" s="3" t="s">
        <v>70</v>
      </c>
      <c r="G1303" s="3" t="s">
        <v>1613</v>
      </c>
    </row>
    <row r="1304" spans="1:7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">
        <v>19</v>
      </c>
      <c r="F1304" s="3" t="s">
        <v>18</v>
      </c>
      <c r="G1304" s="3" t="s">
        <v>1613</v>
      </c>
    </row>
    <row r="1305" spans="1:7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">
        <v>9</v>
      </c>
      <c r="F1305" s="3" t="s">
        <v>64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">
        <v>31</v>
      </c>
      <c r="F1306" s="3" t="s">
        <v>31</v>
      </c>
      <c r="G1306" s="3" t="s">
        <v>1616</v>
      </c>
    </row>
    <row r="1307" spans="1:7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">
        <v>19</v>
      </c>
      <c r="F1307" s="3" t="s">
        <v>18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">
        <v>31</v>
      </c>
      <c r="F1308" s="3" t="s">
        <v>31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">
        <v>47</v>
      </c>
      <c r="F1309" s="3" t="s">
        <v>46</v>
      </c>
      <c r="G1309" s="3" t="s">
        <v>1616</v>
      </c>
    </row>
    <row r="1310" spans="1:7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">
        <v>47</v>
      </c>
      <c r="F1310" s="3" t="s">
        <v>46</v>
      </c>
      <c r="G1310" s="3" t="s">
        <v>1617</v>
      </c>
    </row>
    <row r="1311" spans="1:7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">
        <v>38</v>
      </c>
      <c r="F1311" s="3" t="s">
        <v>69</v>
      </c>
      <c r="G1311" s="3" t="s">
        <v>1613</v>
      </c>
    </row>
    <row r="1312" spans="1:7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">
        <v>25</v>
      </c>
      <c r="F1312" s="3" t="s">
        <v>66</v>
      </c>
      <c r="G1312" s="3" t="s">
        <v>1615</v>
      </c>
    </row>
    <row r="1313" spans="1:7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">
        <v>9</v>
      </c>
      <c r="F1313" s="3" t="s">
        <v>64</v>
      </c>
      <c r="G1313" s="3" t="s">
        <v>1613</v>
      </c>
    </row>
    <row r="1314" spans="1:7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">
        <v>9</v>
      </c>
      <c r="F1314" s="3" t="s">
        <v>64</v>
      </c>
      <c r="G1314" s="3" t="s">
        <v>1613</v>
      </c>
    </row>
    <row r="1315" spans="1:7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">
        <v>33</v>
      </c>
      <c r="F1315" s="3">
        <v>0</v>
      </c>
      <c r="G1315" s="3" t="s">
        <v>1615</v>
      </c>
    </row>
    <row r="1316" spans="1:7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">
        <v>29</v>
      </c>
      <c r="F1316" s="3" t="s">
        <v>17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">
        <v>38</v>
      </c>
      <c r="F1317" s="3" t="s">
        <v>69</v>
      </c>
      <c r="G1317" s="3" t="s">
        <v>1616</v>
      </c>
    </row>
    <row r="1318" spans="1:7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">
        <v>47</v>
      </c>
      <c r="F1318" s="3" t="s">
        <v>46</v>
      </c>
      <c r="G1318" s="3" t="s">
        <v>1613</v>
      </c>
    </row>
    <row r="1319" spans="1:7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">
        <v>45</v>
      </c>
      <c r="F1319" s="3" t="s">
        <v>71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">
        <v>11</v>
      </c>
      <c r="F1320" s="3" t="s">
        <v>10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">
        <v>49</v>
      </c>
      <c r="F1321" s="3" t="s">
        <v>48</v>
      </c>
      <c r="G1321" s="3" t="s">
        <v>1614</v>
      </c>
    </row>
    <row r="1322" spans="1:7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">
        <v>29</v>
      </c>
      <c r="F1322" s="3" t="s">
        <v>17</v>
      </c>
      <c r="G1322" s="3" t="s">
        <v>1615</v>
      </c>
    </row>
    <row r="1323" spans="1:7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">
        <v>43</v>
      </c>
      <c r="F1323" s="3" t="s">
        <v>70</v>
      </c>
      <c r="G1323" s="3" t="s">
        <v>1617</v>
      </c>
    </row>
    <row r="1324" spans="1:7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">
        <v>23</v>
      </c>
      <c r="F1324" s="3" t="s">
        <v>65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">
        <v>31</v>
      </c>
      <c r="F1325" s="3" t="s">
        <v>31</v>
      </c>
      <c r="G1325" s="3" t="s">
        <v>1616</v>
      </c>
    </row>
    <row r="1326" spans="1:7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">
        <v>15</v>
      </c>
      <c r="F1326" s="3" t="s">
        <v>14</v>
      </c>
      <c r="G1326" s="3" t="s">
        <v>1615</v>
      </c>
    </row>
    <row r="1327" spans="1:7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">
        <v>9</v>
      </c>
      <c r="F1327" s="3" t="s">
        <v>64</v>
      </c>
      <c r="G1327" s="3" t="s">
        <v>1615</v>
      </c>
    </row>
    <row r="1328" spans="1:7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">
        <v>23</v>
      </c>
      <c r="F1328" s="3" t="s">
        <v>65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">
        <v>29</v>
      </c>
      <c r="F1329" s="3" t="s">
        <v>17</v>
      </c>
      <c r="G1329" s="3" t="s">
        <v>1614</v>
      </c>
    </row>
    <row r="1330" spans="1:7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">
        <v>23</v>
      </c>
      <c r="F1330" s="3" t="s">
        <v>65</v>
      </c>
      <c r="G1330" s="3" t="s">
        <v>1617</v>
      </c>
    </row>
    <row r="1331" spans="1:7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">
        <v>9</v>
      </c>
      <c r="F1331" s="3" t="s">
        <v>64</v>
      </c>
      <c r="G1331" s="3" t="s">
        <v>1613</v>
      </c>
    </row>
    <row r="1332" spans="1:7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">
        <v>9</v>
      </c>
      <c r="F1332" s="3" t="s">
        <v>64</v>
      </c>
      <c r="G1332" s="3" t="s">
        <v>1617</v>
      </c>
    </row>
    <row r="1333" spans="1:7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">
        <v>43</v>
      </c>
      <c r="F1333" s="3" t="s">
        <v>70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">
        <v>45</v>
      </c>
      <c r="F1334" s="3" t="s">
        <v>71</v>
      </c>
      <c r="G1334" s="3" t="s">
        <v>1616</v>
      </c>
    </row>
    <row r="1335" spans="1:7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">
        <v>25</v>
      </c>
      <c r="F1335" s="3" t="s">
        <v>66</v>
      </c>
      <c r="G1335" s="3" t="s">
        <v>1613</v>
      </c>
    </row>
    <row r="1336" spans="1:7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">
        <v>9</v>
      </c>
      <c r="F1336" s="3" t="s">
        <v>64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">
        <v>31</v>
      </c>
      <c r="F1337" s="3" t="s">
        <v>31</v>
      </c>
      <c r="G1337" s="3" t="s">
        <v>1616</v>
      </c>
    </row>
    <row r="1338" spans="1:7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">
        <v>9</v>
      </c>
      <c r="F1338" s="3" t="s">
        <v>64</v>
      </c>
      <c r="G1338" s="3" t="s">
        <v>1615</v>
      </c>
    </row>
    <row r="1339" spans="1:7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">
        <v>19</v>
      </c>
      <c r="F1339" s="3" t="s">
        <v>18</v>
      </c>
      <c r="G1339" s="3" t="s">
        <v>1613</v>
      </c>
    </row>
    <row r="1340" spans="1:7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">
        <v>25</v>
      </c>
      <c r="F1340" s="3" t="s">
        <v>66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">
        <v>43</v>
      </c>
      <c r="F1341" s="3" t="s">
        <v>70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">
        <v>43</v>
      </c>
      <c r="F1342" s="3" t="s">
        <v>70</v>
      </c>
      <c r="G1342" s="3" t="s">
        <v>1616</v>
      </c>
    </row>
    <row r="1343" spans="1:7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">
        <v>9</v>
      </c>
      <c r="F1343" s="3" t="s">
        <v>64</v>
      </c>
      <c r="G1343" s="3" t="s">
        <v>1615</v>
      </c>
    </row>
    <row r="1344" spans="1:7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">
        <v>23</v>
      </c>
      <c r="F1344" s="3" t="s">
        <v>65</v>
      </c>
      <c r="G1344" s="3" t="s">
        <v>1615</v>
      </c>
    </row>
    <row r="1345" spans="1:7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">
        <v>38</v>
      </c>
      <c r="F1345" s="3" t="s">
        <v>69</v>
      </c>
      <c r="G1345" s="3" t="s">
        <v>1617</v>
      </c>
    </row>
    <row r="1346" spans="1:7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">
        <v>43</v>
      </c>
      <c r="F1346" s="3" t="s">
        <v>70</v>
      </c>
      <c r="G1346" s="3" t="s">
        <v>1613</v>
      </c>
    </row>
    <row r="1347" spans="1:7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">
        <v>19</v>
      </c>
      <c r="F1347" s="3" t="s">
        <v>18</v>
      </c>
      <c r="G1347" s="3" t="s">
        <v>1617</v>
      </c>
    </row>
    <row r="1348" spans="1:7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">
        <v>29</v>
      </c>
      <c r="F1348" s="3" t="s">
        <v>17</v>
      </c>
      <c r="G1348" s="3" t="s">
        <v>1615</v>
      </c>
    </row>
    <row r="1349" spans="1:7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">
        <v>38</v>
      </c>
      <c r="F1349" s="3" t="s">
        <v>69</v>
      </c>
      <c r="G1349" s="3" t="s">
        <v>1617</v>
      </c>
    </row>
    <row r="1350" spans="1:7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">
        <v>11</v>
      </c>
      <c r="F1350" s="3" t="s">
        <v>10</v>
      </c>
      <c r="G1350" s="3" t="s">
        <v>1615</v>
      </c>
    </row>
    <row r="1351" spans="1:7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">
        <v>43</v>
      </c>
      <c r="F1351" s="3" t="s">
        <v>70</v>
      </c>
      <c r="G1351" s="3" t="s">
        <v>1613</v>
      </c>
    </row>
    <row r="1352" spans="1:7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">
        <v>57</v>
      </c>
      <c r="F1352" s="3" t="s">
        <v>72</v>
      </c>
      <c r="G1352" s="3" t="s">
        <v>1615</v>
      </c>
    </row>
    <row r="1353" spans="1:7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">
        <v>25</v>
      </c>
      <c r="F1353" s="3" t="s">
        <v>66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">
        <v>53</v>
      </c>
      <c r="F1354" s="3" t="s">
        <v>53</v>
      </c>
      <c r="G1354" s="3">
        <v>0</v>
      </c>
    </row>
    <row r="1355" spans="1:7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">
        <v>9</v>
      </c>
      <c r="F1355" s="3" t="s">
        <v>64</v>
      </c>
      <c r="G1355" s="3" t="s">
        <v>1615</v>
      </c>
    </row>
    <row r="1356" spans="1:7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">
        <v>19</v>
      </c>
      <c r="F1356" s="3" t="s">
        <v>18</v>
      </c>
      <c r="G1356" s="3" t="s">
        <v>1617</v>
      </c>
    </row>
    <row r="1357" spans="1:7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">
        <v>45</v>
      </c>
      <c r="F1357" s="3" t="s">
        <v>71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">
        <v>31</v>
      </c>
      <c r="F1358" s="3" t="s">
        <v>31</v>
      </c>
      <c r="G1358" s="3">
        <v>0</v>
      </c>
    </row>
    <row r="1359" spans="1:7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">
        <v>19</v>
      </c>
      <c r="F1359" s="3" t="s">
        <v>18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">
        <v>31</v>
      </c>
      <c r="F1360" s="3" t="s">
        <v>31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">
        <v>19</v>
      </c>
      <c r="F1361" s="3" t="s">
        <v>18</v>
      </c>
      <c r="G1361" s="3" t="s">
        <v>1614</v>
      </c>
    </row>
    <row r="1362" spans="1:7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">
        <v>40</v>
      </c>
      <c r="F1362" s="3" t="s">
        <v>39</v>
      </c>
      <c r="G1362" s="3" t="s">
        <v>1617</v>
      </c>
    </row>
    <row r="1363" spans="1:7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">
        <v>29</v>
      </c>
      <c r="F1363" s="3" t="s">
        <v>17</v>
      </c>
      <c r="G1363" s="3" t="s">
        <v>1615</v>
      </c>
    </row>
    <row r="1364" spans="1:7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">
        <v>43</v>
      </c>
      <c r="F1364" s="3" t="s">
        <v>70</v>
      </c>
      <c r="G1364" s="3" t="s">
        <v>1615</v>
      </c>
    </row>
    <row r="1365" spans="1:7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">
        <v>45</v>
      </c>
      <c r="F1365" s="3" t="s">
        <v>71</v>
      </c>
      <c r="G1365" s="3" t="s">
        <v>1617</v>
      </c>
    </row>
    <row r="1366" spans="1:7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">
        <v>9</v>
      </c>
      <c r="F1366" s="3" t="s">
        <v>64</v>
      </c>
      <c r="G1366" s="3" t="s">
        <v>1617</v>
      </c>
    </row>
    <row r="1367" spans="1:7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">
        <v>9</v>
      </c>
      <c r="F1367" s="3" t="s">
        <v>64</v>
      </c>
      <c r="G1367" s="3" t="s">
        <v>1617</v>
      </c>
    </row>
    <row r="1368" spans="1:7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">
        <v>43</v>
      </c>
      <c r="F1368" s="3" t="s">
        <v>70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">
        <v>15</v>
      </c>
      <c r="F1369" s="3" t="s">
        <v>14</v>
      </c>
      <c r="G1369" s="3" t="s">
        <v>1614</v>
      </c>
    </row>
    <row r="1370" spans="1:7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">
        <v>25</v>
      </c>
      <c r="F1370" s="3" t="s">
        <v>66</v>
      </c>
      <c r="G1370" s="3" t="s">
        <v>1615</v>
      </c>
    </row>
    <row r="1371" spans="1:7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">
        <v>43</v>
      </c>
      <c r="F1371" s="3" t="s">
        <v>70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">
        <v>23</v>
      </c>
      <c r="F1372" s="3" t="s">
        <v>65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">
        <v>40</v>
      </c>
      <c r="F1373" s="3" t="s">
        <v>39</v>
      </c>
      <c r="G1373" s="3" t="s">
        <v>1616</v>
      </c>
    </row>
    <row r="1374" spans="1:7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">
        <v>29</v>
      </c>
      <c r="F1374" s="3" t="s">
        <v>17</v>
      </c>
      <c r="G1374" s="3" t="s">
        <v>1615</v>
      </c>
    </row>
    <row r="1375" spans="1:7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">
        <v>38</v>
      </c>
      <c r="F1375" s="3" t="s">
        <v>69</v>
      </c>
      <c r="G1375" s="3" t="s">
        <v>1615</v>
      </c>
    </row>
    <row r="1376" spans="1:7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">
        <v>15</v>
      </c>
      <c r="F1376" s="3" t="s">
        <v>14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">
        <v>19</v>
      </c>
      <c r="F1377" s="3" t="s">
        <v>18</v>
      </c>
      <c r="G1377" s="3" t="s">
        <v>1616</v>
      </c>
    </row>
    <row r="1378" spans="1:7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">
        <v>25</v>
      </c>
      <c r="F1378" s="3" t="s">
        <v>66</v>
      </c>
      <c r="G1378" s="3" t="s">
        <v>1615</v>
      </c>
    </row>
    <row r="1379" spans="1:7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">
        <v>38</v>
      </c>
      <c r="F1379" s="3" t="s">
        <v>69</v>
      </c>
      <c r="G1379" s="3" t="s">
        <v>1617</v>
      </c>
    </row>
    <row r="1380" spans="1:7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">
        <v>9</v>
      </c>
      <c r="F1380" s="3" t="s">
        <v>64</v>
      </c>
      <c r="G1380" s="3" t="s">
        <v>1615</v>
      </c>
    </row>
    <row r="1381" spans="1:7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">
        <v>15</v>
      </c>
      <c r="F1381" s="3" t="s">
        <v>14</v>
      </c>
      <c r="G1381" s="3" t="s">
        <v>1615</v>
      </c>
    </row>
    <row r="1382" spans="1:7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">
        <v>43</v>
      </c>
      <c r="F1382" s="3" t="s">
        <v>70</v>
      </c>
      <c r="G1382" s="3" t="s">
        <v>1615</v>
      </c>
    </row>
    <row r="1383" spans="1:7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">
        <v>9</v>
      </c>
      <c r="F1383" s="3" t="s">
        <v>64</v>
      </c>
      <c r="G1383" s="3" t="s">
        <v>1617</v>
      </c>
    </row>
    <row r="1384" spans="1:7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">
        <v>29</v>
      </c>
      <c r="F1384" s="3" t="s">
        <v>17</v>
      </c>
      <c r="G1384" s="3" t="s">
        <v>1615</v>
      </c>
    </row>
    <row r="1385" spans="1:7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">
        <v>38</v>
      </c>
      <c r="F1385" s="3" t="s">
        <v>69</v>
      </c>
      <c r="G1385" s="3" t="s">
        <v>1613</v>
      </c>
    </row>
    <row r="1386" spans="1:7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">
        <v>38</v>
      </c>
      <c r="F1386" s="3" t="s">
        <v>69</v>
      </c>
      <c r="G1386" s="3" t="s">
        <v>1613</v>
      </c>
    </row>
    <row r="1387" spans="1:7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">
        <v>29</v>
      </c>
      <c r="F1387" s="3" t="s">
        <v>17</v>
      </c>
      <c r="G1387" s="3" t="s">
        <v>1615</v>
      </c>
    </row>
    <row r="1388" spans="1:7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">
        <v>9</v>
      </c>
      <c r="F1388" s="3" t="s">
        <v>64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">
        <v>29</v>
      </c>
      <c r="F1389" s="3" t="s">
        <v>17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">
        <v>47</v>
      </c>
      <c r="F1390" s="3" t="s">
        <v>46</v>
      </c>
      <c r="G1390" s="3" t="s">
        <v>1616</v>
      </c>
    </row>
    <row r="1391" spans="1:7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">
        <v>25</v>
      </c>
      <c r="F1391" s="3" t="s">
        <v>66</v>
      </c>
      <c r="G1391" s="3" t="s">
        <v>1615</v>
      </c>
    </row>
    <row r="1392" spans="1:7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">
        <v>19</v>
      </c>
      <c r="F1392" s="3" t="s">
        <v>18</v>
      </c>
      <c r="G1392" s="3" t="s">
        <v>1613</v>
      </c>
    </row>
    <row r="1393" spans="1:7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">
        <v>11</v>
      </c>
      <c r="F1393" s="3" t="s">
        <v>10</v>
      </c>
      <c r="G1393" s="3" t="s">
        <v>1613</v>
      </c>
    </row>
    <row r="1394" spans="1:7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">
        <v>45</v>
      </c>
      <c r="F1394" s="3" t="s">
        <v>71</v>
      </c>
      <c r="G1394" s="3" t="s">
        <v>1617</v>
      </c>
    </row>
    <row r="1395" spans="1:7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">
        <v>29</v>
      </c>
      <c r="F1395" s="3" t="s">
        <v>17</v>
      </c>
      <c r="G1395" s="3" t="s">
        <v>1615</v>
      </c>
    </row>
    <row r="1396" spans="1:7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">
        <v>9</v>
      </c>
      <c r="F1396" s="3" t="s">
        <v>64</v>
      </c>
      <c r="G1396" s="3" t="s">
        <v>1615</v>
      </c>
    </row>
    <row r="1397" spans="1:7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">
        <v>15</v>
      </c>
      <c r="F1397" s="3" t="s">
        <v>14</v>
      </c>
      <c r="G1397" s="3" t="s">
        <v>1615</v>
      </c>
    </row>
    <row r="1398" spans="1:7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">
        <v>45</v>
      </c>
      <c r="F1398" s="3" t="s">
        <v>71</v>
      </c>
      <c r="G1398" s="3" t="s">
        <v>1617</v>
      </c>
    </row>
    <row r="1399" spans="1:7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">
        <v>43</v>
      </c>
      <c r="F1399" s="3" t="s">
        <v>70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">
        <v>29</v>
      </c>
      <c r="F1400" s="3" t="s">
        <v>17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">
        <v>53</v>
      </c>
      <c r="F1401" s="3" t="s">
        <v>53</v>
      </c>
      <c r="G1401" s="3">
        <v>0</v>
      </c>
    </row>
    <row r="1402" spans="1:7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">
        <v>33</v>
      </c>
      <c r="F1402" s="3">
        <v>0</v>
      </c>
      <c r="G1402" s="3" t="s">
        <v>1615</v>
      </c>
    </row>
    <row r="1403" spans="1:7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">
        <v>9</v>
      </c>
      <c r="F1403" s="3" t="s">
        <v>64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v>0</v>
      </c>
      <c r="F1404" s="3">
        <v>0</v>
      </c>
      <c r="G1404" s="3" t="s">
        <v>1614</v>
      </c>
    </row>
    <row r="1405" spans="1:7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">
        <v>9</v>
      </c>
      <c r="F1405" s="3" t="s">
        <v>64</v>
      </c>
      <c r="G1405" s="3" t="s">
        <v>1615</v>
      </c>
    </row>
    <row r="1406" spans="1:7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">
        <v>29</v>
      </c>
      <c r="F1406" s="3" t="s">
        <v>17</v>
      </c>
      <c r="G1406" s="3" t="s">
        <v>1615</v>
      </c>
    </row>
    <row r="1407" spans="1:7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">
        <v>9</v>
      </c>
      <c r="F1407" s="3" t="s">
        <v>64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">
        <v>15</v>
      </c>
      <c r="F1408" s="3" t="s">
        <v>14</v>
      </c>
      <c r="G1408" s="3" t="s">
        <v>1616</v>
      </c>
    </row>
    <row r="1409" spans="1:7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">
        <v>47</v>
      </c>
      <c r="F1409" s="3" t="s">
        <v>46</v>
      </c>
      <c r="G1409" s="3" t="s">
        <v>1615</v>
      </c>
    </row>
    <row r="1410" spans="1:7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">
        <v>25</v>
      </c>
      <c r="F1410" s="3" t="s">
        <v>66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">
        <v>31</v>
      </c>
      <c r="F1411" s="3" t="s">
        <v>31</v>
      </c>
      <c r="G1411" s="3" t="s">
        <v>1616</v>
      </c>
    </row>
    <row r="1412" spans="1:7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">
        <v>25</v>
      </c>
      <c r="F1412" s="3" t="s">
        <v>66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">
        <v>53</v>
      </c>
      <c r="F1413" s="3" t="s">
        <v>53</v>
      </c>
      <c r="G1413" s="3">
        <v>0</v>
      </c>
    </row>
    <row r="1414" spans="1:7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">
        <v>27</v>
      </c>
      <c r="F1414" s="3" t="s">
        <v>67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v>0</v>
      </c>
      <c r="F1415" s="3">
        <v>0</v>
      </c>
      <c r="G1415" s="3" t="s">
        <v>1616</v>
      </c>
    </row>
    <row r="1416" spans="1:7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">
        <v>9</v>
      </c>
      <c r="F1416" s="3" t="s">
        <v>64</v>
      </c>
      <c r="G1416" s="3" t="s">
        <v>1617</v>
      </c>
    </row>
    <row r="1417" spans="1:7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">
        <v>19</v>
      </c>
      <c r="F1417" s="3" t="s">
        <v>18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">
        <v>29</v>
      </c>
      <c r="F1418" s="3" t="s">
        <v>17</v>
      </c>
      <c r="G1418" s="3" t="s">
        <v>1616</v>
      </c>
    </row>
    <row r="1419" spans="1:7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">
        <v>25</v>
      </c>
      <c r="F1419" s="3" t="s">
        <v>66</v>
      </c>
      <c r="G1419" s="3" t="s">
        <v>1615</v>
      </c>
    </row>
    <row r="1420" spans="1:7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">
        <v>15</v>
      </c>
      <c r="F1420" s="3" t="s">
        <v>14</v>
      </c>
      <c r="G1420" s="3" t="s">
        <v>1615</v>
      </c>
    </row>
    <row r="1421" spans="1:7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">
        <v>23</v>
      </c>
      <c r="F1421" s="3" t="s">
        <v>65</v>
      </c>
      <c r="G1421" s="3" t="s">
        <v>1613</v>
      </c>
    </row>
    <row r="1422" spans="1:7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">
        <v>25</v>
      </c>
      <c r="F1422" s="3" t="s">
        <v>66</v>
      </c>
      <c r="G1422" s="3" t="s">
        <v>1613</v>
      </c>
    </row>
    <row r="1423" spans="1:7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">
        <v>25</v>
      </c>
      <c r="F1423" s="3" t="s">
        <v>66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">
        <v>45</v>
      </c>
      <c r="F1424" s="3" t="s">
        <v>71</v>
      </c>
      <c r="G1424" s="3" t="s">
        <v>1614</v>
      </c>
    </row>
    <row r="1425" spans="1:7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">
        <v>25</v>
      </c>
      <c r="F1425" s="3" t="s">
        <v>66</v>
      </c>
      <c r="G1425" s="3" t="s">
        <v>1615</v>
      </c>
    </row>
    <row r="1426" spans="1:7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">
        <v>25</v>
      </c>
      <c r="F1426" s="3" t="s">
        <v>66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">
        <v>9</v>
      </c>
      <c r="F1427" s="3" t="s">
        <v>64</v>
      </c>
      <c r="G1427" s="3" t="s">
        <v>1616</v>
      </c>
    </row>
    <row r="1428" spans="1:7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">
        <v>47</v>
      </c>
      <c r="F1428" s="3" t="s">
        <v>46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v>0</v>
      </c>
      <c r="F1429" s="3">
        <v>0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">
        <v>33</v>
      </c>
      <c r="F1430" s="3">
        <v>0</v>
      </c>
      <c r="G1430" s="3" t="s">
        <v>1616</v>
      </c>
    </row>
    <row r="1431" spans="1:7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">
        <v>25</v>
      </c>
      <c r="F1431" s="3" t="s">
        <v>66</v>
      </c>
      <c r="G1431" s="3" t="s">
        <v>1615</v>
      </c>
    </row>
    <row r="1432" spans="1:7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">
        <v>9</v>
      </c>
      <c r="F1432" s="3" t="s">
        <v>64</v>
      </c>
      <c r="G1432" s="3" t="s">
        <v>1615</v>
      </c>
    </row>
    <row r="1433" spans="1:7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">
        <v>9</v>
      </c>
      <c r="F1433" s="3" t="s">
        <v>64</v>
      </c>
      <c r="G1433" s="3" t="s">
        <v>1617</v>
      </c>
    </row>
    <row r="1434" spans="1:7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">
        <v>36</v>
      </c>
      <c r="F1434" s="3" t="s">
        <v>68</v>
      </c>
      <c r="G1434" s="3" t="s">
        <v>1617</v>
      </c>
    </row>
    <row r="1435" spans="1:7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">
        <v>9</v>
      </c>
      <c r="F1435" s="3" t="s">
        <v>64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">
        <v>31</v>
      </c>
      <c r="F1436" s="3" t="s">
        <v>31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">
        <v>43</v>
      </c>
      <c r="F1437" s="3" t="s">
        <v>70</v>
      </c>
      <c r="G1437" s="3" t="s">
        <v>1614</v>
      </c>
    </row>
    <row r="1438" spans="1:7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">
        <v>23</v>
      </c>
      <c r="F1438" s="3" t="s">
        <v>65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">
        <v>31</v>
      </c>
      <c r="F1439" s="3" t="s">
        <v>31</v>
      </c>
      <c r="G1439" s="3">
        <v>0</v>
      </c>
    </row>
    <row r="1440" spans="1:7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">
        <v>23</v>
      </c>
      <c r="F1440" s="3" t="s">
        <v>65</v>
      </c>
      <c r="G1440" s="3" t="s">
        <v>1613</v>
      </c>
    </row>
    <row r="1441" spans="1:7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">
        <v>9</v>
      </c>
      <c r="F1441" s="3" t="s">
        <v>64</v>
      </c>
      <c r="G1441" s="3" t="s">
        <v>1615</v>
      </c>
    </row>
    <row r="1442" spans="1:7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">
        <v>23</v>
      </c>
      <c r="F1442" s="3" t="s">
        <v>65</v>
      </c>
      <c r="G1442" s="3" t="s">
        <v>1613</v>
      </c>
    </row>
    <row r="1443" spans="1:7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">
        <v>38</v>
      </c>
      <c r="F1443" s="3" t="s">
        <v>69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">
        <v>23</v>
      </c>
      <c r="F1444" s="3" t="s">
        <v>65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">
        <v>53</v>
      </c>
      <c r="F1445" s="3" t="s">
        <v>53</v>
      </c>
      <c r="G1445" s="3" t="s">
        <v>1616</v>
      </c>
    </row>
    <row r="1446" spans="1:7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">
        <v>25</v>
      </c>
      <c r="F1446" s="3" t="s">
        <v>66</v>
      </c>
      <c r="G1446" s="3" t="s">
        <v>1615</v>
      </c>
    </row>
    <row r="1447" spans="1:7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">
        <v>40</v>
      </c>
      <c r="F1447" s="3" t="s">
        <v>39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">
        <v>19</v>
      </c>
      <c r="F1448" s="3" t="s">
        <v>18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">
        <v>36</v>
      </c>
      <c r="F1449" s="3" t="s">
        <v>68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1629</v>
      </c>
      <c r="D1450" s="3" t="s">
        <v>61</v>
      </c>
      <c r="E1450" s="3">
        <v>0</v>
      </c>
      <c r="F1450" s="3">
        <v>0</v>
      </c>
      <c r="G1450" s="3" t="s">
        <v>1614</v>
      </c>
    </row>
    <row r="1451" spans="1:7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">
        <v>15</v>
      </c>
      <c r="F1451" s="3" t="s">
        <v>14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">
        <v>53</v>
      </c>
      <c r="F1452" s="3" t="s">
        <v>53</v>
      </c>
      <c r="G1452" s="3">
        <v>0</v>
      </c>
    </row>
    <row r="1453" spans="1:7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">
        <v>9</v>
      </c>
      <c r="F1453" s="3" t="s">
        <v>64</v>
      </c>
      <c r="G1453" s="3" t="s">
        <v>1613</v>
      </c>
    </row>
    <row r="1454" spans="1:7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">
        <v>25</v>
      </c>
      <c r="F1454" s="3" t="s">
        <v>66</v>
      </c>
      <c r="G1454" s="3" t="s">
        <v>1615</v>
      </c>
    </row>
    <row r="1455" spans="1:7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">
        <v>9</v>
      </c>
      <c r="F1455" s="3" t="s">
        <v>64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">
        <v>31</v>
      </c>
      <c r="F1456" s="3" t="s">
        <v>31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">
        <v>40</v>
      </c>
      <c r="F1457" s="3" t="s">
        <v>39</v>
      </c>
      <c r="G1457" s="3" t="s">
        <v>1616</v>
      </c>
    </row>
    <row r="1458" spans="1:7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">
        <v>9</v>
      </c>
      <c r="F1458" s="3" t="s">
        <v>64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">
        <v>31</v>
      </c>
      <c r="F1459" s="3" t="s">
        <v>31</v>
      </c>
      <c r="G1459" s="3">
        <v>0</v>
      </c>
    </row>
    <row r="1460" spans="1:7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">
        <v>43</v>
      </c>
      <c r="F1460" s="3" t="s">
        <v>70</v>
      </c>
      <c r="G1460" s="3" t="s">
        <v>1617</v>
      </c>
    </row>
    <row r="1461" spans="1:7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">
        <v>38</v>
      </c>
      <c r="F1461" s="3" t="s">
        <v>69</v>
      </c>
      <c r="G1461" s="3" t="s">
        <v>1613</v>
      </c>
    </row>
    <row r="1462" spans="1:7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">
        <v>33</v>
      </c>
      <c r="F1462" s="3">
        <v>0</v>
      </c>
      <c r="G1462" s="3" t="s">
        <v>1615</v>
      </c>
    </row>
    <row r="1463" spans="1:7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">
        <v>33</v>
      </c>
      <c r="F1463" s="3">
        <v>0</v>
      </c>
      <c r="G1463" s="3" t="s">
        <v>1615</v>
      </c>
    </row>
    <row r="1464" spans="1:7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">
        <v>38</v>
      </c>
      <c r="F1464" s="3" t="s">
        <v>69</v>
      </c>
      <c r="G1464" s="3" t="s">
        <v>1617</v>
      </c>
    </row>
    <row r="1465" spans="1:7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">
        <v>9</v>
      </c>
      <c r="F1465" s="3" t="s">
        <v>64</v>
      </c>
      <c r="G1465" s="3" t="s">
        <v>1613</v>
      </c>
    </row>
    <row r="1466" spans="1:7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">
        <v>33</v>
      </c>
      <c r="F1466" s="3">
        <v>0</v>
      </c>
      <c r="G1466" s="3" t="s">
        <v>1615</v>
      </c>
    </row>
    <row r="1467" spans="1:7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">
        <v>29</v>
      </c>
      <c r="F1467" s="3" t="s">
        <v>17</v>
      </c>
      <c r="G1467" s="3" t="s">
        <v>1615</v>
      </c>
    </row>
    <row r="1468" spans="1:7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">
        <v>25</v>
      </c>
      <c r="F1468" s="3" t="s">
        <v>66</v>
      </c>
      <c r="G1468" s="3" t="s">
        <v>1613</v>
      </c>
    </row>
    <row r="1469" spans="1:7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">
        <v>15</v>
      </c>
      <c r="F1469" s="3" t="s">
        <v>14</v>
      </c>
      <c r="G1469" s="3" t="s">
        <v>1615</v>
      </c>
    </row>
    <row r="1470" spans="1:7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">
        <v>9</v>
      </c>
      <c r="F1470" s="3" t="s">
        <v>64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">
        <v>31</v>
      </c>
      <c r="F1471" s="3" t="s">
        <v>31</v>
      </c>
      <c r="G1471" s="3" t="s">
        <v>1616</v>
      </c>
    </row>
    <row r="1472" spans="1:7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">
        <v>23</v>
      </c>
      <c r="F1472" s="3" t="s">
        <v>65</v>
      </c>
      <c r="G1472" s="3" t="s">
        <v>1615</v>
      </c>
    </row>
    <row r="1473" spans="1:7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">
        <v>38</v>
      </c>
      <c r="F1473" s="3" t="s">
        <v>69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">
        <v>29</v>
      </c>
      <c r="F1474" s="3" t="s">
        <v>17</v>
      </c>
      <c r="G1474" s="3" t="s">
        <v>1616</v>
      </c>
    </row>
    <row r="1475" spans="1:7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">
        <v>29</v>
      </c>
      <c r="F1475" s="3" t="s">
        <v>17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">
        <v>29</v>
      </c>
      <c r="F1476" s="3" t="s">
        <v>17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">
        <v>15</v>
      </c>
      <c r="F1477" s="3" t="s">
        <v>14</v>
      </c>
      <c r="G1477" s="3" t="s">
        <v>1616</v>
      </c>
    </row>
    <row r="1478" spans="1:7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">
        <v>9</v>
      </c>
      <c r="F1478" s="3" t="s">
        <v>64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">
        <v>49</v>
      </c>
      <c r="F1479" s="3" t="s">
        <v>48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">
        <v>53</v>
      </c>
      <c r="F1480" s="3" t="s">
        <v>53</v>
      </c>
      <c r="G1480" s="3">
        <v>0</v>
      </c>
    </row>
    <row r="1481" spans="1:7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">
        <v>21</v>
      </c>
      <c r="F1481" s="3" t="s">
        <v>21</v>
      </c>
      <c r="G1481" s="3" t="s">
        <v>1615</v>
      </c>
    </row>
    <row r="1482" spans="1:7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">
        <v>43</v>
      </c>
      <c r="F1482" s="3" t="s">
        <v>70</v>
      </c>
      <c r="G1482" s="3" t="s">
        <v>1617</v>
      </c>
    </row>
    <row r="1483" spans="1:7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">
        <v>11</v>
      </c>
      <c r="F1483" s="3" t="s">
        <v>10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">
        <v>31</v>
      </c>
      <c r="F1484" s="3" t="s">
        <v>31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">
        <v>45</v>
      </c>
      <c r="F1485" s="3" t="s">
        <v>71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">
        <v>25</v>
      </c>
      <c r="F1486" s="3" t="s">
        <v>66</v>
      </c>
      <c r="G1486" s="3" t="s">
        <v>1616</v>
      </c>
    </row>
    <row r="1487" spans="1:7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">
        <v>9</v>
      </c>
      <c r="F1487" s="3" t="s">
        <v>64</v>
      </c>
      <c r="G1487" s="3" t="s">
        <v>1615</v>
      </c>
    </row>
    <row r="1488" spans="1:7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">
        <v>9</v>
      </c>
      <c r="F1488" s="3" t="s">
        <v>64</v>
      </c>
      <c r="G1488" s="3" t="s">
        <v>1617</v>
      </c>
    </row>
    <row r="1489" spans="1:7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">
        <v>38</v>
      </c>
      <c r="F1489" s="3" t="s">
        <v>69</v>
      </c>
      <c r="G1489" s="3" t="s">
        <v>1615</v>
      </c>
    </row>
    <row r="1490" spans="1:7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">
        <v>25</v>
      </c>
      <c r="F1490" s="3" t="s">
        <v>66</v>
      </c>
      <c r="G1490" s="3" t="s">
        <v>1615</v>
      </c>
    </row>
    <row r="1491" spans="1:7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">
        <v>25</v>
      </c>
      <c r="F1491" s="3" t="s">
        <v>66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">
        <v>38</v>
      </c>
      <c r="F1492" s="3" t="s">
        <v>69</v>
      </c>
      <c r="G1492" s="3" t="s">
        <v>1616</v>
      </c>
    </row>
    <row r="1493" spans="1:7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">
        <v>9</v>
      </c>
      <c r="F1493" s="3" t="s">
        <v>64</v>
      </c>
      <c r="G1493" s="3" t="s">
        <v>1615</v>
      </c>
    </row>
    <row r="1494" spans="1:7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">
        <v>21</v>
      </c>
      <c r="F1494" s="3" t="s">
        <v>21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">
        <v>15</v>
      </c>
      <c r="F1495" s="3" t="s">
        <v>14</v>
      </c>
      <c r="G1495" s="3" t="s">
        <v>1616</v>
      </c>
    </row>
    <row r="1496" spans="1:7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">
        <v>19</v>
      </c>
      <c r="F1496" s="3" t="s">
        <v>18</v>
      </c>
      <c r="G1496" s="3" t="s">
        <v>1613</v>
      </c>
    </row>
    <row r="1497" spans="1:7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">
        <v>33</v>
      </c>
      <c r="F1497" s="3">
        <v>0</v>
      </c>
      <c r="G1497" s="3" t="s">
        <v>1615</v>
      </c>
    </row>
    <row r="1498" spans="1:7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">
        <v>45</v>
      </c>
      <c r="F1498" s="3" t="s">
        <v>71</v>
      </c>
      <c r="G1498" s="3" t="s">
        <v>1617</v>
      </c>
    </row>
    <row r="1499" spans="1:7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">
        <v>9</v>
      </c>
      <c r="F1499" s="3" t="s">
        <v>64</v>
      </c>
      <c r="G1499" s="3" t="s">
        <v>1615</v>
      </c>
    </row>
    <row r="1500" spans="1:7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">
        <v>15</v>
      </c>
      <c r="F1500" s="3" t="s">
        <v>14</v>
      </c>
      <c r="G1500" s="3" t="s">
        <v>1615</v>
      </c>
    </row>
    <row r="1501" spans="1:7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">
        <v>43</v>
      </c>
      <c r="F1501" s="3" t="s">
        <v>70</v>
      </c>
      <c r="G1501" s="3" t="s">
        <v>1615</v>
      </c>
    </row>
    <row r="1502" spans="1:7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">
        <v>43</v>
      </c>
      <c r="F1502" s="3" t="s">
        <v>70</v>
      </c>
      <c r="G1502" s="3" t="s">
        <v>1617</v>
      </c>
    </row>
    <row r="1503" spans="1:7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">
        <v>11</v>
      </c>
      <c r="F1503" s="3" t="s">
        <v>10</v>
      </c>
      <c r="G1503" s="3" t="s">
        <v>1613</v>
      </c>
    </row>
    <row r="1504" spans="1:7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">
        <v>40</v>
      </c>
      <c r="F1504" s="3" t="s">
        <v>39</v>
      </c>
      <c r="G1504" s="3" t="s">
        <v>1615</v>
      </c>
    </row>
    <row r="1505" spans="1:7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">
        <v>38</v>
      </c>
      <c r="F1505" s="3" t="s">
        <v>69</v>
      </c>
      <c r="G1505" s="3" t="s">
        <v>1617</v>
      </c>
    </row>
    <row r="1506" spans="1:7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">
        <v>43</v>
      </c>
      <c r="F1506" s="3" t="s">
        <v>70</v>
      </c>
      <c r="G1506" s="3" t="s">
        <v>1617</v>
      </c>
    </row>
    <row r="1507" spans="1:7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">
        <v>11</v>
      </c>
      <c r="F1507" s="3" t="s">
        <v>10</v>
      </c>
      <c r="G1507" s="3" t="s">
        <v>1613</v>
      </c>
    </row>
    <row r="1508" spans="1:7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">
        <v>43</v>
      </c>
      <c r="F1508" s="3" t="s">
        <v>70</v>
      </c>
      <c r="G1508" s="3" t="s">
        <v>1617</v>
      </c>
    </row>
    <row r="1509" spans="1:7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">
        <v>38</v>
      </c>
      <c r="F1509" s="3" t="s">
        <v>69</v>
      </c>
      <c r="G1509" s="3" t="s">
        <v>1617</v>
      </c>
    </row>
    <row r="1510" spans="1:7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">
        <v>25</v>
      </c>
      <c r="F1510" s="3" t="s">
        <v>66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">
        <v>31</v>
      </c>
      <c r="F1511" s="3" t="s">
        <v>31</v>
      </c>
      <c r="G1511" s="3" t="s">
        <v>1616</v>
      </c>
    </row>
    <row r="1512" spans="1:7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">
        <v>9</v>
      </c>
      <c r="F1512" s="3" t="s">
        <v>64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">
        <v>47</v>
      </c>
      <c r="F1513" s="3" t="s">
        <v>46</v>
      </c>
      <c r="G1513" s="3" t="s">
        <v>1616</v>
      </c>
    </row>
    <row r="1514" spans="1:7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">
        <v>36</v>
      </c>
      <c r="F1514" s="3" t="s">
        <v>68</v>
      </c>
      <c r="G1514" s="3" t="s">
        <v>1617</v>
      </c>
    </row>
    <row r="1515" spans="1:7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">
        <v>38</v>
      </c>
      <c r="F1515" s="3" t="s">
        <v>69</v>
      </c>
      <c r="G1515" s="3" t="s">
        <v>1617</v>
      </c>
    </row>
    <row r="1516" spans="1:7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">
        <v>38</v>
      </c>
      <c r="F1516" s="3" t="s">
        <v>69</v>
      </c>
      <c r="G1516" s="3" t="s">
        <v>1613</v>
      </c>
    </row>
    <row r="1517" spans="1:7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">
        <v>36</v>
      </c>
      <c r="F1517" s="3" t="s">
        <v>68</v>
      </c>
      <c r="G1517" s="3" t="s">
        <v>1615</v>
      </c>
    </row>
    <row r="1518" spans="1:7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">
        <v>19</v>
      </c>
      <c r="F1518" s="3" t="s">
        <v>18</v>
      </c>
      <c r="G1518" s="3" t="s">
        <v>1613</v>
      </c>
    </row>
    <row r="1519" spans="1:7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">
        <v>15</v>
      </c>
      <c r="F1519" s="3" t="s">
        <v>14</v>
      </c>
      <c r="G1519" s="3" t="s">
        <v>1615</v>
      </c>
    </row>
    <row r="1520" spans="1:7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">
        <v>9</v>
      </c>
      <c r="F1520" s="3" t="s">
        <v>64</v>
      </c>
      <c r="G1520" s="3" t="s">
        <v>1613</v>
      </c>
    </row>
    <row r="1521" spans="1:7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">
        <v>9</v>
      </c>
      <c r="F1521" s="3" t="s">
        <v>64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">
        <v>53</v>
      </c>
      <c r="F1522" s="3" t="s">
        <v>53</v>
      </c>
      <c r="G1522" s="3">
        <v>0</v>
      </c>
    </row>
    <row r="1523" spans="1:7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">
        <v>9</v>
      </c>
      <c r="F1523" s="3" t="s">
        <v>64</v>
      </c>
      <c r="G1523" s="3" t="s">
        <v>1615</v>
      </c>
    </row>
    <row r="1524" spans="1:7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">
        <v>21</v>
      </c>
      <c r="F1524" s="3" t="s">
        <v>21</v>
      </c>
      <c r="G1524" s="3" t="s">
        <v>1615</v>
      </c>
    </row>
    <row r="1525" spans="1:7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">
        <v>15</v>
      </c>
      <c r="F1525" s="3" t="s">
        <v>14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">
        <v>53</v>
      </c>
      <c r="F1526" s="3" t="s">
        <v>53</v>
      </c>
      <c r="G1526" s="3">
        <v>0</v>
      </c>
    </row>
    <row r="1527" spans="1:7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">
        <v>43</v>
      </c>
      <c r="F1527" s="3" t="s">
        <v>70</v>
      </c>
      <c r="G1527" s="3" t="s">
        <v>1617</v>
      </c>
    </row>
    <row r="1528" spans="1:7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">
        <v>25</v>
      </c>
      <c r="F1528" s="3" t="s">
        <v>66</v>
      </c>
      <c r="G1528" s="3" t="s">
        <v>1615</v>
      </c>
    </row>
    <row r="1529" spans="1:7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">
        <v>23</v>
      </c>
      <c r="F1529" s="3" t="s">
        <v>65</v>
      </c>
      <c r="G1529" s="3" t="s">
        <v>1615</v>
      </c>
    </row>
    <row r="1530" spans="1:7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">
        <v>9</v>
      </c>
      <c r="F1530" s="3" t="s">
        <v>64</v>
      </c>
      <c r="G1530" s="3" t="s">
        <v>1615</v>
      </c>
    </row>
    <row r="1531" spans="1:7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">
        <v>19</v>
      </c>
      <c r="F1531" s="3" t="s">
        <v>18</v>
      </c>
      <c r="G1531" s="3" t="s">
        <v>1613</v>
      </c>
    </row>
    <row r="1532" spans="1:7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">
        <v>21</v>
      </c>
      <c r="F1532" s="3" t="s">
        <v>21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">
        <v>29</v>
      </c>
      <c r="F1533" s="3" t="s">
        <v>17</v>
      </c>
      <c r="G1533" s="3" t="s">
        <v>1616</v>
      </c>
    </row>
    <row r="1534" spans="1:7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">
        <v>29</v>
      </c>
      <c r="F1534" s="3" t="s">
        <v>17</v>
      </c>
      <c r="G1534" s="3" t="s">
        <v>1615</v>
      </c>
    </row>
    <row r="1535" spans="1:7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">
        <v>29</v>
      </c>
      <c r="F1535" s="3" t="s">
        <v>17</v>
      </c>
      <c r="G1535" s="3" t="s">
        <v>1615</v>
      </c>
    </row>
    <row r="1536" spans="1:7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">
        <v>29</v>
      </c>
      <c r="F1536" s="3" t="s">
        <v>17</v>
      </c>
      <c r="G1536" s="3" t="s">
        <v>1615</v>
      </c>
    </row>
    <row r="1537" spans="1:7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">
        <v>29</v>
      </c>
      <c r="F1537" s="3" t="s">
        <v>17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">
        <v>11</v>
      </c>
      <c r="F1538" s="3" t="s">
        <v>10</v>
      </c>
      <c r="G1538" s="3" t="s">
        <v>1614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tabSelected="1" workbookViewId="0">
      <selection activeCell="A12" sqref="A12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1626</v>
      </c>
      <c r="G2" t="s">
        <v>1627</v>
      </c>
    </row>
    <row r="3" spans="1:7" x14ac:dyDescent="0.25">
      <c r="A3" t="s">
        <v>10</v>
      </c>
      <c r="B3" t="s">
        <v>11</v>
      </c>
      <c r="C3" t="s">
        <v>10</v>
      </c>
      <c r="F3" t="s">
        <v>1625</v>
      </c>
      <c r="G3" t="s">
        <v>1628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  <c r="C11" t="s">
        <v>31</v>
      </c>
    </row>
    <row r="12" spans="1:7" x14ac:dyDescent="0.25">
      <c r="A12" t="s">
        <v>32</v>
      </c>
      <c r="B12" t="s">
        <v>33</v>
      </c>
      <c r="C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3" x14ac:dyDescent="0.25">
      <c r="A17" t="s">
        <v>41</v>
      </c>
      <c r="B17" t="s">
        <v>15</v>
      </c>
      <c r="C17" t="s">
        <v>14</v>
      </c>
    </row>
    <row r="18" spans="1:3" x14ac:dyDescent="0.25">
      <c r="A18" t="s">
        <v>42</v>
      </c>
      <c r="B18" t="s">
        <v>43</v>
      </c>
      <c r="C18" t="s">
        <v>70</v>
      </c>
    </row>
    <row r="19" spans="1:3" x14ac:dyDescent="0.25">
      <c r="A19" t="s">
        <v>44</v>
      </c>
      <c r="B19" t="s">
        <v>45</v>
      </c>
      <c r="C19" t="s">
        <v>71</v>
      </c>
    </row>
    <row r="20" spans="1:3" x14ac:dyDescent="0.25">
      <c r="A20" t="s">
        <v>46</v>
      </c>
      <c r="B20" t="s">
        <v>47</v>
      </c>
      <c r="C20" t="s">
        <v>46</v>
      </c>
    </row>
    <row r="21" spans="1:3" x14ac:dyDescent="0.25">
      <c r="A21" t="s">
        <v>48</v>
      </c>
      <c r="B21" t="s">
        <v>49</v>
      </c>
      <c r="C21" t="s">
        <v>48</v>
      </c>
    </row>
    <row r="22" spans="1:3" x14ac:dyDescent="0.25">
      <c r="A22" t="s">
        <v>50</v>
      </c>
    </row>
    <row r="23" spans="1:3" x14ac:dyDescent="0.25">
      <c r="A23" t="s">
        <v>51</v>
      </c>
      <c r="B23" t="s">
        <v>52</v>
      </c>
      <c r="C23" t="s">
        <v>51</v>
      </c>
    </row>
    <row r="24" spans="1:3" x14ac:dyDescent="0.25">
      <c r="A24" t="s">
        <v>53</v>
      </c>
      <c r="B24" t="s">
        <v>53</v>
      </c>
      <c r="C24" t="s">
        <v>53</v>
      </c>
    </row>
    <row r="25" spans="1:3" x14ac:dyDescent="0.25">
      <c r="A25" t="s">
        <v>54</v>
      </c>
      <c r="B25" t="s">
        <v>55</v>
      </c>
    </row>
    <row r="26" spans="1:3" x14ac:dyDescent="0.25">
      <c r="A26" t="s">
        <v>56</v>
      </c>
      <c r="B26" t="s">
        <v>57</v>
      </c>
      <c r="C26" t="s">
        <v>72</v>
      </c>
    </row>
    <row r="27" spans="1:3" x14ac:dyDescent="0.25">
      <c r="A27" t="s">
        <v>58</v>
      </c>
    </row>
    <row r="28" spans="1:3" x14ac:dyDescent="0.25">
      <c r="A28" t="s">
        <v>59</v>
      </c>
    </row>
    <row r="29" spans="1:3" x14ac:dyDescent="0.25">
      <c r="A29" t="s">
        <v>60</v>
      </c>
      <c r="B29" t="s">
        <v>60</v>
      </c>
      <c r="C29" t="s">
        <v>60</v>
      </c>
    </row>
    <row r="30" spans="1:3" x14ac:dyDescent="0.25">
      <c r="A30" t="s">
        <v>61</v>
      </c>
    </row>
    <row r="31" spans="1:3" x14ac:dyDescent="0.25">
      <c r="A31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38"/>
  <sheetViews>
    <sheetView topLeftCell="A1496" workbookViewId="0">
      <selection activeCell="A2" sqref="A2:G1538"/>
    </sheetView>
  </sheetViews>
  <sheetFormatPr defaultColWidth="9" defaultRowHeight="12.75" x14ac:dyDescent="0.25"/>
  <cols>
    <col min="1" max="3" width="9" style="6"/>
    <col min="4" max="4" width="9.28515625" style="6" customWidth="1"/>
    <col min="5" max="5" width="13.5703125" style="6" customWidth="1"/>
    <col min="6" max="16384" width="9" style="6"/>
  </cols>
  <sheetData>
    <row r="1" spans="1:7" s="5" customFormat="1" ht="13.5" x14ac:dyDescent="0.25">
      <c r="A1" s="1" t="s">
        <v>1</v>
      </c>
      <c r="B1" s="1" t="s">
        <v>0</v>
      </c>
      <c r="C1" s="1" t="s">
        <v>2</v>
      </c>
      <c r="D1" s="1" t="s">
        <v>73</v>
      </c>
      <c r="E1" s="1" t="s">
        <v>7</v>
      </c>
      <c r="F1" s="1" t="s">
        <v>1623</v>
      </c>
      <c r="G1" s="1" t="s">
        <v>1630</v>
      </c>
    </row>
    <row r="2" spans="1:7" x14ac:dyDescent="0.25">
      <c r="A2" s="2">
        <v>20687</v>
      </c>
      <c r="B2" s="2" t="s">
        <v>3</v>
      </c>
      <c r="C2" s="2" t="s">
        <v>4</v>
      </c>
      <c r="D2" s="3" t="s">
        <v>8</v>
      </c>
      <c r="E2" s="3" t="str">
        <f>_xlfn.XLOOKUP(Table3[[#This Row],[Location ]],Table1[Location],Table1[Oracle Location],0,0)</f>
        <v>MONDP</v>
      </c>
      <c r="F2" s="3" t="str">
        <f>_xlfn.XLOOKUP(Table3[[#This Row],[Location ]], Table1[Location],Table1[SVG Location],0,0)</f>
        <v>DH_400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tr">
        <f>_xlfn.XLOOKUP(Table3[[#This Row],[Location ]],Table1[Location],Table1[Oracle Location],0,0)</f>
        <v>MTY3</v>
      </c>
      <c r="F3" s="3" t="str">
        <f>_xlfn.XLOOKUP(Table3[[#This Row],[Location ]], Table1[Location],Table1[SVG Location],0,0)</f>
        <v>MTY3</v>
      </c>
      <c r="G3" s="3" t="s">
        <v>1614</v>
      </c>
    </row>
    <row r="4" spans="1:7" x14ac:dyDescent="0.25">
      <c r="A4" s="2">
        <v>21142</v>
      </c>
      <c r="B4" s="2" t="s">
        <v>12</v>
      </c>
      <c r="C4" s="2" t="s">
        <v>4</v>
      </c>
      <c r="D4" s="3" t="s">
        <v>8</v>
      </c>
      <c r="E4" s="3" t="str">
        <f>_xlfn.XLOOKUP(Table3[[#This Row],[Location ]],Table1[Location],Table1[Oracle Location],0,0)</f>
        <v>MONDP</v>
      </c>
      <c r="F4" s="3" t="str">
        <f>_xlfn.XLOOKUP(Table3[[#This Row],[Location ]], Table1[Location],Table1[SVG Location],0,0)</f>
        <v>DH_400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tr">
        <f>_xlfn.XLOOKUP(Table3[[#This Row],[Location ]],Table1[Location],Table1[Oracle Location],0,0)</f>
        <v>ALL</v>
      </c>
      <c r="F5" s="3" t="str">
        <f>_xlfn.XLOOKUP(Table3[[#This Row],[Location ]], Table1[Location],Table1[SVG Location],0,0)</f>
        <v>ALL</v>
      </c>
      <c r="G5" s="3" t="s">
        <v>1614</v>
      </c>
    </row>
    <row r="6" spans="1:7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tr">
        <f>_xlfn.XLOOKUP(Table3[[#This Row],[Location ]],Table1[Location],Table1[Oracle Location],0,0)</f>
        <v>MONBLW</v>
      </c>
      <c r="F6" s="3" t="str">
        <f>_xlfn.XLOOKUP(Table3[[#This Row],[Location ]], Table1[Location],Table1[SVG Location],0,0)</f>
        <v>Blower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tr">
        <f>_xlfn.XLOOKUP(Table3[[#This Row],[Location ]],Table1[Location],Table1[Oracle Location],0,0)</f>
        <v>MTY3</v>
      </c>
      <c r="F7" s="3" t="str">
        <f>_xlfn.XLOOKUP(Table3[[#This Row],[Location ]], Table1[Location],Table1[SVG Location],0,0)</f>
        <v>MTY3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tr">
        <f>_xlfn.XLOOKUP(Table3[[#This Row],[Location ]],Table1[Location],Table1[Oracle Location],0,0)</f>
        <v>MONCOILS</v>
      </c>
      <c r="F8" s="3" t="str">
        <f>_xlfn.XLOOKUP(Table3[[#This Row],[Location ]], Table1[Location],Table1[SVG Location],0,0)</f>
        <v>Coils_Shop</v>
      </c>
      <c r="G8" s="3" t="s">
        <v>1614</v>
      </c>
    </row>
    <row r="9" spans="1:7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tr">
        <f>_xlfn.XLOOKUP(Table3[[#This Row],[Location ]],Table1[Location],Table1[Oracle Location],0,0)</f>
        <v>MONXDU</v>
      </c>
      <c r="F9" s="3" t="str">
        <f>_xlfn.XLOOKUP(Table3[[#This Row],[Location ]], Table1[Location],Table1[SVG Location],0,0)</f>
        <v>XDU_1350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tr">
        <f>_xlfn.XLOOKUP(Table3[[#This Row],[Location ]],Table1[Location],Table1[Oracle Location],0,0)</f>
        <v>ALL</v>
      </c>
      <c r="F10" s="3" t="str">
        <f>_xlfn.XLOOKUP(Table3[[#This Row],[Location ]], Table1[Location],Table1[SVG Location],0,0)</f>
        <v>ALL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tr">
        <f>_xlfn.XLOOKUP(Table3[[#This Row],[Location ]],Table1[Location],Table1[Oracle Location],0,0)</f>
        <v>ALL</v>
      </c>
      <c r="F11" s="3" t="str">
        <f>_xlfn.XLOOKUP(Table3[[#This Row],[Location ]], Table1[Location],Table1[SVG Location],0,0)</f>
        <v>ALL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tr">
        <f>_xlfn.XLOOKUP(Table3[[#This Row],[Location ]],Table1[Location],Table1[Oracle Location],0,0)</f>
        <v>MTY3</v>
      </c>
      <c r="F12" s="3" t="str">
        <f>_xlfn.XLOOKUP(Table3[[#This Row],[Location ]], Table1[Location],Table1[SVG Location],0,0)</f>
        <v>MTY3</v>
      </c>
      <c r="G12" s="3">
        <v>0</v>
      </c>
    </row>
    <row r="13" spans="1:7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tr">
        <f>_xlfn.XLOOKUP(Table3[[#This Row],[Location ]],Table1[Location],Table1[Oracle Location],0,0)</f>
        <v>MONXDU</v>
      </c>
      <c r="F13" s="3" t="str">
        <f>_xlfn.XLOOKUP(Table3[[#This Row],[Location ]], Table1[Location],Table1[SVG Location],0,0)</f>
        <v>XDU_1350</v>
      </c>
      <c r="G13" s="3" t="s">
        <v>1613</v>
      </c>
    </row>
    <row r="14" spans="1:7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tr">
        <f>_xlfn.XLOOKUP(Table3[[#This Row],[Location ]],Table1[Location],Table1[Oracle Location],0,0)</f>
        <v>MTY 1, MTY1</v>
      </c>
      <c r="F14" s="3" t="str">
        <f>_xlfn.XLOOKUP(Table3[[#This Row],[Location ]], Table1[Location],Table1[SVG Location],0,0)</f>
        <v>Warehouse</v>
      </c>
      <c r="G14" s="3" t="s">
        <v>1617</v>
      </c>
    </row>
    <row r="15" spans="1:7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tr">
        <f>_xlfn.XLOOKUP(Table3[[#This Row],[Location ]],Table1[Location],Table1[Oracle Location],0,0)</f>
        <v>MONXDU</v>
      </c>
      <c r="F15" s="3" t="str">
        <f>_xlfn.XLOOKUP(Table3[[#This Row],[Location ]], Table1[Location],Table1[SVG Location],0,0)</f>
        <v>XDU_1350</v>
      </c>
      <c r="G15" s="3" t="s">
        <v>1613</v>
      </c>
    </row>
    <row r="16" spans="1:7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tr">
        <f>_xlfn.XLOOKUP(Table3[[#This Row],[Location ]],Table1[Location],Table1[Oracle Location],0,0)</f>
        <v>MONDA</v>
      </c>
      <c r="F16" s="3" t="str">
        <f>_xlfn.XLOOKUP(Table3[[#This Row],[Location ]], Table1[Location],Table1[SVG Location],0,0)</f>
        <v>MONDA</v>
      </c>
      <c r="G16" s="3" t="s">
        <v>1617</v>
      </c>
    </row>
    <row r="17" spans="1:7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tr">
        <f>_xlfn.XLOOKUP(Table3[[#This Row],[Location ]],Table1[Location],Table1[Oracle Location],0,0)</f>
        <v>MONMC</v>
      </c>
      <c r="F17" s="3" t="str">
        <f>_xlfn.XLOOKUP(Table3[[#This Row],[Location ]], Table1[Location],Table1[SVG Location],0,0)</f>
        <v>MC</v>
      </c>
      <c r="G17" s="3" t="s">
        <v>1617</v>
      </c>
    </row>
    <row r="18" spans="1:7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tr">
        <f>_xlfn.XLOOKUP(Table3[[#This Row],[Location ]],Table1[Location],Table1[Oracle Location],0,0)</f>
        <v>MONDP</v>
      </c>
      <c r="F18" s="3" t="str">
        <f>_xlfn.XLOOKUP(Table3[[#This Row],[Location ]], Table1[Location],Table1[SVG Location],0,0)</f>
        <v>DH_400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tr">
        <f>_xlfn.XLOOKUP(Table3[[#This Row],[Location ]],Table1[Location],Table1[Oracle Location],0,0)</f>
        <v>ALL</v>
      </c>
      <c r="F19" s="3" t="str">
        <f>_xlfn.XLOOKUP(Table3[[#This Row],[Location ]], Table1[Location],Table1[SVG Location],0,0)</f>
        <v>ALL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tr">
        <f>_xlfn.XLOOKUP(Table3[[#This Row],[Location ]],Table1[Location],Table1[Oracle Location],0,0)</f>
        <v>MRBM</v>
      </c>
      <c r="F20" s="3" t="str">
        <f>_xlfn.XLOOKUP(Table3[[#This Row],[Location ]], Table1[Location],Table1[SVG Location],0,0)</f>
        <v>MRB</v>
      </c>
      <c r="G20" s="3" t="s">
        <v>1616</v>
      </c>
    </row>
    <row r="21" spans="1:7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tr">
        <f>_xlfn.XLOOKUP(Table3[[#This Row],[Location ]],Table1[Location],Table1[Oracle Location],0,0)</f>
        <v>MONDP</v>
      </c>
      <c r="F21" s="3" t="str">
        <f>_xlfn.XLOOKUP(Table3[[#This Row],[Location ]], Table1[Location],Table1[SVG Location],0,0)</f>
        <v>DH_400</v>
      </c>
      <c r="G21" s="3" t="s">
        <v>1617</v>
      </c>
    </row>
    <row r="22" spans="1:7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tr">
        <f>_xlfn.XLOOKUP(Table3[[#This Row],[Location ]],Table1[Location],Table1[Oracle Location],0,0)</f>
        <v>MONDP</v>
      </c>
      <c r="F22" s="3" t="str">
        <f>_xlfn.XLOOKUP(Table3[[#This Row],[Location ]], Table1[Location],Table1[SVG Location],0,0)</f>
        <v>DH_400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tr">
        <f>_xlfn.XLOOKUP(Table3[[#This Row],[Location ]],Table1[Location],Table1[Oracle Location],0,0)</f>
        <v>MONMC</v>
      </c>
      <c r="F23" s="3" t="str">
        <f>_xlfn.XLOOKUP(Table3[[#This Row],[Location ]], Table1[Location],Table1[SVG Location],0,0)</f>
        <v>MC</v>
      </c>
      <c r="G23" s="3" t="s">
        <v>1616</v>
      </c>
    </row>
    <row r="24" spans="1:7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tr">
        <f>_xlfn.XLOOKUP(Table3[[#This Row],[Location ]],Table1[Location],Table1[Oracle Location],0,0)</f>
        <v>MONDP</v>
      </c>
      <c r="F24" s="3" t="str">
        <f>_xlfn.XLOOKUP(Table3[[#This Row],[Location ]], Table1[Location],Table1[SVG Location],0,0)</f>
        <v>DH_400</v>
      </c>
      <c r="G24" s="3" t="s">
        <v>1613</v>
      </c>
    </row>
    <row r="25" spans="1:7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tr">
        <f>_xlfn.XLOOKUP(Table3[[#This Row],[Location ]],Table1[Location],Table1[Oracle Location],0,0)</f>
        <v>MONXDU100</v>
      </c>
      <c r="F25" s="3" t="str">
        <f>_xlfn.XLOOKUP(Table3[[#This Row],[Location ]], Table1[Location],Table1[SVG Location],0,0)</f>
        <v>XDU_100</v>
      </c>
      <c r="G25" s="3" t="s">
        <v>1617</v>
      </c>
    </row>
    <row r="26" spans="1:7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tr">
        <f>_xlfn.XLOOKUP(Table3[[#This Row],[Location ]],Table1[Location],Table1[Oracle Location],0,0)</f>
        <v>SHIP</v>
      </c>
      <c r="F26" s="3" t="str">
        <f>_xlfn.XLOOKUP(Table3[[#This Row],[Location ]], Table1[Location],Table1[SVG Location],0,0)</f>
        <v>SHIP</v>
      </c>
      <c r="G26" s="3" t="s">
        <v>1617</v>
      </c>
    </row>
    <row r="27" spans="1:7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tr">
        <f>_xlfn.XLOOKUP(Table3[[#This Row],[Location ]],Table1[Location],Table1[Oracle Location],0,0)</f>
        <v>MONMC</v>
      </c>
      <c r="F27" s="3" t="str">
        <f>_xlfn.XLOOKUP(Table3[[#This Row],[Location ]], Table1[Location],Table1[SVG Location],0,0)</f>
        <v>MC</v>
      </c>
      <c r="G27" s="3" t="s">
        <v>1615</v>
      </c>
    </row>
    <row r="28" spans="1:7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tr">
        <f>_xlfn.XLOOKUP(Table3[[#This Row],[Location ]],Table1[Location],Table1[Oracle Location],0,0)</f>
        <v>MTY 1, MTY1</v>
      </c>
      <c r="F28" s="3" t="str">
        <f>_xlfn.XLOOKUP(Table3[[#This Row],[Location ]], Table1[Location],Table1[SVG Location],0,0)</f>
        <v>Warehouse</v>
      </c>
      <c r="G28" s="3" t="s">
        <v>1617</v>
      </c>
    </row>
    <row r="29" spans="1:7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tr">
        <f>_xlfn.XLOOKUP(Table3[[#This Row],[Location ]],Table1[Location],Table1[Oracle Location],0,0)</f>
        <v>MONDA</v>
      </c>
      <c r="F29" s="3" t="str">
        <f>_xlfn.XLOOKUP(Table3[[#This Row],[Location ]], Table1[Location],Table1[SVG Location],0,0)</f>
        <v>MONDA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tr">
        <f>_xlfn.XLOOKUP(Table3[[#This Row],[Location ]],Table1[Location],Table1[Oracle Location],0,0)</f>
        <v>ALL</v>
      </c>
      <c r="F30" s="3" t="str">
        <f>_xlfn.XLOOKUP(Table3[[#This Row],[Location ]], Table1[Location],Table1[SVG Location],0,0)</f>
        <v>ALL</v>
      </c>
      <c r="G30" s="3" t="s">
        <v>1616</v>
      </c>
    </row>
    <row r="31" spans="1:7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tr">
        <f>_xlfn.XLOOKUP(Table3[[#This Row],[Location ]],Table1[Location],Table1[Oracle Location],0,0)</f>
        <v>MONXDU</v>
      </c>
      <c r="F31" s="3" t="str">
        <f>_xlfn.XLOOKUP(Table3[[#This Row],[Location ]], Table1[Location],Table1[SVG Location],0,0)</f>
        <v>XDU_1350</v>
      </c>
      <c r="G31" s="3" t="s">
        <v>1617</v>
      </c>
    </row>
    <row r="32" spans="1:7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tr">
        <f>_xlfn.XLOOKUP(Table3[[#This Row],[Location ]],Table1[Location],Table1[Oracle Location],0,0)</f>
        <v>MONXDU</v>
      </c>
      <c r="F32" s="3" t="str">
        <f>_xlfn.XLOOKUP(Table3[[#This Row],[Location ]], Table1[Location],Table1[SVG Location],0,0)</f>
        <v>XDU_1350</v>
      </c>
      <c r="G32" s="3" t="s">
        <v>1617</v>
      </c>
    </row>
    <row r="33" spans="1:7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tr">
        <f>_xlfn.XLOOKUP(Table3[[#This Row],[Location ]],Table1[Location],Table1[Oracle Location],0,0)</f>
        <v>MONPIPING</v>
      </c>
      <c r="F33" s="3" t="str">
        <f>_xlfn.XLOOKUP(Table3[[#This Row],[Location ]], Table1[Location],Table1[SVG Location],0,0)</f>
        <v>Piping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tr">
        <f>_xlfn.XLOOKUP(Table3[[#This Row],[Location ]],Table1[Location],Table1[Oracle Location],0,0)</f>
        <v>MONSKID</v>
      </c>
      <c r="F34" s="3" t="str">
        <f>_xlfn.XLOOKUP(Table3[[#This Row],[Location ]], Table1[Location],Table1[SVG Location],0,0)</f>
        <v>SKID</v>
      </c>
      <c r="G34" s="3" t="s">
        <v>1614</v>
      </c>
    </row>
    <row r="35" spans="1:7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tr">
        <f>_xlfn.XLOOKUP(Table3[[#This Row],[Location ]],Table1[Location],Table1[Oracle Location],0,0)</f>
        <v>MONXDU</v>
      </c>
      <c r="F35" s="3" t="str">
        <f>_xlfn.XLOOKUP(Table3[[#This Row],[Location ]], Table1[Location],Table1[SVG Location],0,0)</f>
        <v>XDU_1350</v>
      </c>
      <c r="G35" s="3" t="s">
        <v>1617</v>
      </c>
    </row>
    <row r="36" spans="1:7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tr">
        <f>_xlfn.XLOOKUP(Table3[[#This Row],[Location ]],Table1[Location],Table1[Oracle Location],0,0)</f>
        <v>MONMC</v>
      </c>
      <c r="F36" s="3" t="str">
        <f>_xlfn.XLOOKUP(Table3[[#This Row],[Location ]], Table1[Location],Table1[SVG Location],0,0)</f>
        <v>MC</v>
      </c>
      <c r="G36" s="3" t="s">
        <v>1617</v>
      </c>
    </row>
    <row r="37" spans="1:7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tr">
        <f>_xlfn.XLOOKUP(Table3[[#This Row],[Location ]],Table1[Location],Table1[Oracle Location],0,0)</f>
        <v>MONMC</v>
      </c>
      <c r="F37" s="3" t="str">
        <f>_xlfn.XLOOKUP(Table3[[#This Row],[Location ]], Table1[Location],Table1[SVG Location],0,0)</f>
        <v>MC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tr">
        <f>_xlfn.XLOOKUP(Table3[[#This Row],[Location ]],Table1[Location],Table1[Oracle Location],0,0)</f>
        <v>ALL</v>
      </c>
      <c r="F38" s="3" t="str">
        <f>_xlfn.XLOOKUP(Table3[[#This Row],[Location ]], Table1[Location],Table1[SVG Location],0,0)</f>
        <v>ALL</v>
      </c>
      <c r="G38" s="3" t="s">
        <v>1616</v>
      </c>
    </row>
    <row r="39" spans="1:7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tr">
        <f>_xlfn.XLOOKUP(Table3[[#This Row],[Location ]],Table1[Location],Table1[Oracle Location],0,0)</f>
        <v>MONXDU</v>
      </c>
      <c r="F39" s="3" t="str">
        <f>_xlfn.XLOOKUP(Table3[[#This Row],[Location ]], Table1[Location],Table1[SVG Location],0,0)</f>
        <v>XDU_1350</v>
      </c>
      <c r="G39" s="3" t="s">
        <v>1617</v>
      </c>
    </row>
    <row r="40" spans="1:7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tr">
        <f>_xlfn.XLOOKUP(Table3[[#This Row],[Location ]],Table1[Location],Table1[Oracle Location],0,0)</f>
        <v>MONDA</v>
      </c>
      <c r="F40" s="3" t="str">
        <f>_xlfn.XLOOKUP(Table3[[#This Row],[Location ]], Table1[Location],Table1[SVG Location],0,0)</f>
        <v>MONDA</v>
      </c>
      <c r="G40" s="3" t="s">
        <v>1617</v>
      </c>
    </row>
    <row r="41" spans="1:7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tr">
        <f>_xlfn.XLOOKUP(Table3[[#This Row],[Location ]],Table1[Location],Table1[Oracle Location],0,0)</f>
        <v>MTY 1, MTY1</v>
      </c>
      <c r="F41" s="3" t="str">
        <f>_xlfn.XLOOKUP(Table3[[#This Row],[Location ]], Table1[Location],Table1[SVG Location],0,0)</f>
        <v>Warehouse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tr">
        <f>_xlfn.XLOOKUP(Table3[[#This Row],[Location ]],Table1[Location],Table1[Oracle Location],0,0)</f>
        <v>MONCOILS</v>
      </c>
      <c r="F42" s="3" t="str">
        <f>_xlfn.XLOOKUP(Table3[[#This Row],[Location ]], Table1[Location],Table1[SVG Location],0,0)</f>
        <v>Coils_Shop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tr">
        <f>_xlfn.XLOOKUP(Table3[[#This Row],[Location ]],Table1[Location],Table1[Oracle Location],0,0)</f>
        <v>MONPIPING</v>
      </c>
      <c r="F43" s="3" t="str">
        <f>_xlfn.XLOOKUP(Table3[[#This Row],[Location ]], Table1[Location],Table1[SVG Location],0,0)</f>
        <v>Piping</v>
      </c>
      <c r="G43" s="3" t="s">
        <v>1614</v>
      </c>
    </row>
    <row r="44" spans="1:7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tr">
        <f>_xlfn.XLOOKUP(Table3[[#This Row],[Location ]],Table1[Location],Table1[Oracle Location],0,0)</f>
        <v>MONMC</v>
      </c>
      <c r="F44" s="3" t="str">
        <f>_xlfn.XLOOKUP(Table3[[#This Row],[Location ]], Table1[Location],Table1[SVG Location],0,0)</f>
        <v>MC</v>
      </c>
      <c r="G44" s="3" t="s">
        <v>1615</v>
      </c>
    </row>
    <row r="45" spans="1:7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tr">
        <f>_xlfn.XLOOKUP(Table3[[#This Row],[Location ]],Table1[Location],Table1[Oracle Location],0,0)</f>
        <v>MONDP</v>
      </c>
      <c r="F45" s="3" t="str">
        <f>_xlfn.XLOOKUP(Table3[[#This Row],[Location ]], Table1[Location],Table1[SVG Location],0,0)</f>
        <v>DH_400</v>
      </c>
      <c r="G45" s="3" t="s">
        <v>1617</v>
      </c>
    </row>
    <row r="46" spans="1:7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tr">
        <f>_xlfn.XLOOKUP(Table3[[#This Row],[Location ]],Table1[Location],Table1[Oracle Location],0,0)</f>
        <v>MONXDU</v>
      </c>
      <c r="F46" s="3" t="str">
        <f>_xlfn.XLOOKUP(Table3[[#This Row],[Location ]], Table1[Location],Table1[SVG Location],0,0)</f>
        <v>XDU_1350</v>
      </c>
      <c r="G46" s="3" t="s">
        <v>1613</v>
      </c>
    </row>
    <row r="47" spans="1:7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tr">
        <f>_xlfn.XLOOKUP(Table3[[#This Row],[Location ]],Table1[Location],Table1[Oracle Location],0,0)</f>
        <v>MONDA</v>
      </c>
      <c r="F47" s="3" t="str">
        <f>_xlfn.XLOOKUP(Table3[[#This Row],[Location ]], Table1[Location],Table1[SVG Location],0,0)</f>
        <v>MONDA</v>
      </c>
      <c r="G47" s="3" t="s">
        <v>1617</v>
      </c>
    </row>
    <row r="48" spans="1:7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tr">
        <f>_xlfn.XLOOKUP(Table3[[#This Row],[Location ]],Table1[Location],Table1[Oracle Location],0,0)</f>
        <v>MONDP</v>
      </c>
      <c r="F48" s="3" t="str">
        <f>_xlfn.XLOOKUP(Table3[[#This Row],[Location ]], Table1[Location],Table1[SVG Location],0,0)</f>
        <v>DH_400</v>
      </c>
      <c r="G48" s="3" t="s">
        <v>1617</v>
      </c>
    </row>
    <row r="49" spans="1:7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tr">
        <f>_xlfn.XLOOKUP(Table3[[#This Row],[Location ]],Table1[Location],Table1[Oracle Location],0,0)</f>
        <v>MONDP</v>
      </c>
      <c r="F49" s="3" t="str">
        <f>_xlfn.XLOOKUP(Table3[[#This Row],[Location ]], Table1[Location],Table1[SVG Location],0,0)</f>
        <v>DH_400</v>
      </c>
      <c r="G49" s="3" t="s">
        <v>1615</v>
      </c>
    </row>
    <row r="50" spans="1:7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tr">
        <f>_xlfn.XLOOKUP(Table3[[#This Row],[Location ]],Table1[Location],Table1[Oracle Location],0,0)</f>
        <v>MONEP</v>
      </c>
      <c r="F50" s="3" t="str">
        <f>_xlfn.XLOOKUP(Table3[[#This Row],[Location ]], Table1[Location],Table1[SVG Location],0,0)</f>
        <v>EP</v>
      </c>
      <c r="G50" s="3" t="s">
        <v>1617</v>
      </c>
    </row>
    <row r="51" spans="1:7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tr">
        <f>_xlfn.XLOOKUP(Table3[[#This Row],[Location ]],Table1[Location],Table1[Oracle Location],0,0)</f>
        <v>MONEP</v>
      </c>
      <c r="F51" s="3" t="str">
        <f>_xlfn.XLOOKUP(Table3[[#This Row],[Location ]], Table1[Location],Table1[SVG Location],0,0)</f>
        <v>EP</v>
      </c>
      <c r="G51" s="3" t="s">
        <v>1617</v>
      </c>
    </row>
    <row r="52" spans="1:7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tr">
        <f>_xlfn.XLOOKUP(Table3[[#This Row],[Location ]],Table1[Location],Table1[Oracle Location],0,0)</f>
        <v>MONDP</v>
      </c>
      <c r="F52" s="3" t="str">
        <f>_xlfn.XLOOKUP(Table3[[#This Row],[Location ]], Table1[Location],Table1[SVG Location],0,0)</f>
        <v>DH_400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tr">
        <f>_xlfn.XLOOKUP(Table3[[#This Row],[Location ]],Table1[Location],Table1[Oracle Location],0,0)</f>
        <v>MTY3</v>
      </c>
      <c r="F53" s="3" t="str">
        <f>_xlfn.XLOOKUP(Table3[[#This Row],[Location ]], Table1[Location],Table1[SVG Location],0,0)</f>
        <v>MTY3</v>
      </c>
      <c r="G53" s="3">
        <v>0</v>
      </c>
    </row>
    <row r="54" spans="1:7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tr">
        <f>_xlfn.XLOOKUP(Table3[[#This Row],[Location ]],Table1[Location],Table1[Oracle Location],0,0)</f>
        <v>MONDP</v>
      </c>
      <c r="F54" s="3" t="str">
        <f>_xlfn.XLOOKUP(Table3[[#This Row],[Location ]], Table1[Location],Table1[SVG Location],0,0)</f>
        <v>DH_400</v>
      </c>
      <c r="G54" s="3" t="s">
        <v>1613</v>
      </c>
    </row>
    <row r="55" spans="1:7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tr">
        <f>_xlfn.XLOOKUP(Table3[[#This Row],[Location ]],Table1[Location],Table1[Oracle Location],0,0)</f>
        <v>MONDP</v>
      </c>
      <c r="F55" s="3" t="str">
        <f>_xlfn.XLOOKUP(Table3[[#This Row],[Location ]], Table1[Location],Table1[SVG Location],0,0)</f>
        <v>DH_400</v>
      </c>
      <c r="G55" s="3" t="s">
        <v>1617</v>
      </c>
    </row>
    <row r="56" spans="1:7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tr">
        <f>_xlfn.XLOOKUP(Table3[[#This Row],[Location ]],Table1[Location],Table1[Oracle Location],0,0)</f>
        <v>MONDP</v>
      </c>
      <c r="F56" s="3" t="str">
        <f>_xlfn.XLOOKUP(Table3[[#This Row],[Location ]], Table1[Location],Table1[SVG Location],0,0)</f>
        <v>DH_400</v>
      </c>
      <c r="G56" s="3" t="s">
        <v>1615</v>
      </c>
    </row>
    <row r="57" spans="1:7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tr">
        <f>_xlfn.XLOOKUP(Table3[[#This Row],[Location ]],Table1[Location],Table1[Oracle Location],0,0)</f>
        <v>MONCOILS</v>
      </c>
      <c r="F57" s="3" t="str">
        <f>_xlfn.XLOOKUP(Table3[[#This Row],[Location ]], Table1[Location],Table1[SVG Location],0,0)</f>
        <v>Coils_Shop</v>
      </c>
      <c r="G57" s="3" t="s">
        <v>1613</v>
      </c>
    </row>
    <row r="58" spans="1:7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tr">
        <f>_xlfn.XLOOKUP(Table3[[#This Row],[Location ]],Table1[Location],Table1[Oracle Location],0,0)</f>
        <v>MTY 1, MTY1</v>
      </c>
      <c r="F58" s="3" t="str">
        <f>_xlfn.XLOOKUP(Table3[[#This Row],[Location ]], Table1[Location],Table1[SVG Location],0,0)</f>
        <v>Warehouse</v>
      </c>
      <c r="G58" s="3" t="s">
        <v>1617</v>
      </c>
    </row>
    <row r="59" spans="1:7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tr">
        <f>_xlfn.XLOOKUP(Table3[[#This Row],[Location ]],Table1[Location],Table1[Oracle Location],0,0)</f>
        <v>MONBLW</v>
      </c>
      <c r="F59" s="3" t="str">
        <f>_xlfn.XLOOKUP(Table3[[#This Row],[Location ]], Table1[Location],Table1[SVG Location],0,0)</f>
        <v>Blower</v>
      </c>
      <c r="G59" s="3" t="s">
        <v>1615</v>
      </c>
    </row>
    <row r="60" spans="1:7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tr">
        <f>_xlfn.XLOOKUP(Table3[[#This Row],[Location ]],Table1[Location],Table1[Oracle Location],0,0)</f>
        <v>MONDA</v>
      </c>
      <c r="F60" s="3" t="str">
        <f>_xlfn.XLOOKUP(Table3[[#This Row],[Location ]], Table1[Location],Table1[SVG Location],0,0)</f>
        <v>MONDA</v>
      </c>
      <c r="G60" s="3" t="s">
        <v>1617</v>
      </c>
    </row>
    <row r="61" spans="1:7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tr">
        <f>_xlfn.XLOOKUP(Table3[[#This Row],[Location ]],Table1[Location],Table1[Oracle Location],0,0)</f>
        <v>MONDP</v>
      </c>
      <c r="F61" s="3" t="str">
        <f>_xlfn.XLOOKUP(Table3[[#This Row],[Location ]], Table1[Location],Table1[SVG Location],0,0)</f>
        <v>DH_400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tr">
        <f>_xlfn.XLOOKUP(Table3[[#This Row],[Location ]],Table1[Location],Table1[Oracle Location],0,0)</f>
        <v>MONMC</v>
      </c>
      <c r="F62" s="3" t="str">
        <f>_xlfn.XLOOKUP(Table3[[#This Row],[Location ]], Table1[Location],Table1[SVG Location],0,0)</f>
        <v>MC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tr">
        <f>_xlfn.XLOOKUP(Table3[[#This Row],[Location ]],Table1[Location],Table1[Oracle Location],0,0)</f>
        <v>ALL</v>
      </c>
      <c r="F63" s="3" t="str">
        <f>_xlfn.XLOOKUP(Table3[[#This Row],[Location ]], Table1[Location],Table1[SVG Location],0,0)</f>
        <v>ALL</v>
      </c>
      <c r="G63" s="3" t="s">
        <v>1614</v>
      </c>
    </row>
    <row r="64" spans="1:7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tr">
        <f>_xlfn.XLOOKUP(Table3[[#This Row],[Location ]],Table1[Location],Table1[Oracle Location],0,0)</f>
        <v>MONBLW</v>
      </c>
      <c r="F64" s="3" t="str">
        <f>_xlfn.XLOOKUP(Table3[[#This Row],[Location ]], Table1[Location],Table1[SVG Location],0,0)</f>
        <v>Blower</v>
      </c>
      <c r="G64" s="3" t="s">
        <v>1615</v>
      </c>
    </row>
    <row r="65" spans="1:7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tr">
        <f>_xlfn.XLOOKUP(Table3[[#This Row],[Location ]],Table1[Location],Table1[Oracle Location],0,0)</f>
        <v>MONEP</v>
      </c>
      <c r="F65" s="3" t="str">
        <f>_xlfn.XLOOKUP(Table3[[#This Row],[Location ]], Table1[Location],Table1[SVG Location],0,0)</f>
        <v>EP</v>
      </c>
      <c r="G65" s="3" t="s">
        <v>1615</v>
      </c>
    </row>
    <row r="66" spans="1:7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tr">
        <f>_xlfn.XLOOKUP(Table3[[#This Row],[Location ]],Table1[Location],Table1[Oracle Location],0,0)</f>
        <v>MONXDU</v>
      </c>
      <c r="F66" s="3" t="str">
        <f>_xlfn.XLOOKUP(Table3[[#This Row],[Location ]], Table1[Location],Table1[SVG Location],0,0)</f>
        <v>XDU_1350</v>
      </c>
      <c r="G66" s="3" t="s">
        <v>1617</v>
      </c>
    </row>
    <row r="67" spans="1:7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tr">
        <f>_xlfn.XLOOKUP(Table3[[#This Row],[Location ]],Table1[Location],Table1[Oracle Location],0,0)</f>
        <v>MONEP</v>
      </c>
      <c r="F67" s="3" t="str">
        <f>_xlfn.XLOOKUP(Table3[[#This Row],[Location ]], Table1[Location],Table1[SVG Location],0,0)</f>
        <v>EP</v>
      </c>
      <c r="G67" s="3" t="s">
        <v>1615</v>
      </c>
    </row>
    <row r="68" spans="1:7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tr">
        <f>_xlfn.XLOOKUP(Table3[[#This Row],[Location ]],Table1[Location],Table1[Oracle Location],0,0)</f>
        <v>MONPRE</v>
      </c>
      <c r="F68" s="3" t="str">
        <f>_xlfn.XLOOKUP(Table3[[#This Row],[Location ]], Table1[Location],Table1[SVG Location],0,0)</f>
        <v>PRE_L1</v>
      </c>
      <c r="G68" s="3" t="s">
        <v>1617</v>
      </c>
    </row>
    <row r="69" spans="1:7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tr">
        <f>_xlfn.XLOOKUP(Table3[[#This Row],[Location ]],Table1[Location],Table1[Oracle Location],0,0)</f>
        <v>MONDP</v>
      </c>
      <c r="F69" s="3" t="str">
        <f>_xlfn.XLOOKUP(Table3[[#This Row],[Location ]], Table1[Location],Table1[SVG Location],0,0)</f>
        <v>DH_400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tr">
        <f>_xlfn.XLOOKUP(Table3[[#This Row],[Location ]],Table1[Location],Table1[Oracle Location],0,0)</f>
        <v>ALL</v>
      </c>
      <c r="F70" s="3" t="str">
        <f>_xlfn.XLOOKUP(Table3[[#This Row],[Location ]], Table1[Location],Table1[SVG Location],0,0)</f>
        <v>ALL</v>
      </c>
      <c r="G70" s="3">
        <v>0</v>
      </c>
    </row>
    <row r="71" spans="1:7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tr">
        <f>_xlfn.XLOOKUP(Table3[[#This Row],[Location ]],Table1[Location],Table1[Oracle Location],0,0)</f>
        <v>MONMC</v>
      </c>
      <c r="F71" s="3" t="str">
        <f>_xlfn.XLOOKUP(Table3[[#This Row],[Location ]], Table1[Location],Table1[SVG Location],0,0)</f>
        <v>MC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tr">
        <f>_xlfn.XLOOKUP(Table3[[#This Row],[Location ]],Table1[Location],Table1[Oracle Location],0,0)</f>
        <v>SHIP</v>
      </c>
      <c r="F72" s="3" t="str">
        <f>_xlfn.XLOOKUP(Table3[[#This Row],[Location ]], Table1[Location],Table1[SVG Location],0,0)</f>
        <v>SHIP</v>
      </c>
      <c r="G72" s="3" t="s">
        <v>1614</v>
      </c>
    </row>
    <row r="73" spans="1:7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tr">
        <f>_xlfn.XLOOKUP(Table3[[#This Row],[Location ]],Table1[Location],Table1[Oracle Location],0,0)</f>
        <v>MONCOILS</v>
      </c>
      <c r="F73" s="3" t="str">
        <f>_xlfn.XLOOKUP(Table3[[#This Row],[Location ]], Table1[Location],Table1[SVG Location],0,0)</f>
        <v>Coils_Shop</v>
      </c>
      <c r="G73" s="3" t="s">
        <v>1613</v>
      </c>
    </row>
    <row r="74" spans="1:7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tr">
        <f>_xlfn.XLOOKUP(Table3[[#This Row],[Location ]],Table1[Location],Table1[Oracle Location],0,0)</f>
        <v>MONDA</v>
      </c>
      <c r="F74" s="3" t="str">
        <f>_xlfn.XLOOKUP(Table3[[#This Row],[Location ]], Table1[Location],Table1[SVG Location],0,0)</f>
        <v>MONDA</v>
      </c>
      <c r="G74" s="3" t="s">
        <v>1617</v>
      </c>
    </row>
    <row r="75" spans="1:7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tr">
        <f>_xlfn.XLOOKUP(Table3[[#This Row],[Location ]],Table1[Location],Table1[Oracle Location],0,0)</f>
        <v>MONEP</v>
      </c>
      <c r="F75" s="3" t="str">
        <f>_xlfn.XLOOKUP(Table3[[#This Row],[Location ]], Table1[Location],Table1[SVG Location],0,0)</f>
        <v>EP</v>
      </c>
      <c r="G75" s="3" t="s">
        <v>1615</v>
      </c>
    </row>
    <row r="76" spans="1:7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tr">
        <f>_xlfn.XLOOKUP(Table3[[#This Row],[Location ]],Table1[Location],Table1[Oracle Location],0,0)</f>
        <v>MONDP</v>
      </c>
      <c r="F76" s="3" t="str">
        <f>_xlfn.XLOOKUP(Table3[[#This Row],[Location ]], Table1[Location],Table1[SVG Location],0,0)</f>
        <v>DH_400</v>
      </c>
      <c r="G76" s="3" t="s">
        <v>1615</v>
      </c>
    </row>
    <row r="77" spans="1:7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tr">
        <f>_xlfn.XLOOKUP(Table3[[#This Row],[Location ]],Table1[Location],Table1[Oracle Location],0,0)</f>
        <v>MONPIPING</v>
      </c>
      <c r="F77" s="3" t="str">
        <f>_xlfn.XLOOKUP(Table3[[#This Row],[Location ]], Table1[Location],Table1[SVG Location],0,0)</f>
        <v>Piping</v>
      </c>
      <c r="G77" s="3" t="s">
        <v>1615</v>
      </c>
    </row>
    <row r="78" spans="1:7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tr">
        <f>_xlfn.XLOOKUP(Table3[[#This Row],[Location ]],Table1[Location],Table1[Oracle Location],0,0)</f>
        <v>MONDP</v>
      </c>
      <c r="F78" s="3" t="str">
        <f>_xlfn.XLOOKUP(Table3[[#This Row],[Location ]], Table1[Location],Table1[SVG Location],0,0)</f>
        <v>DH_400</v>
      </c>
      <c r="G78" s="3" t="s">
        <v>1613</v>
      </c>
    </row>
    <row r="79" spans="1:7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tr">
        <f>_xlfn.XLOOKUP(Table3[[#This Row],[Location ]],Table1[Location],Table1[Oracle Location],0,0)</f>
        <v>MONXDU</v>
      </c>
      <c r="F79" s="3" t="str">
        <f>_xlfn.XLOOKUP(Table3[[#This Row],[Location ]], Table1[Location],Table1[SVG Location],0,0)</f>
        <v>XDU_1350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tr">
        <f>_xlfn.XLOOKUP(Table3[[#This Row],[Location ]],Table1[Location],Table1[Oracle Location],0,0)</f>
        <v>MONXDU</v>
      </c>
      <c r="F80" s="3" t="str">
        <f>_xlfn.XLOOKUP(Table3[[#This Row],[Location ]], Table1[Location],Table1[SVG Location],0,0)</f>
        <v>XDU_1350</v>
      </c>
      <c r="G80" s="3" t="s">
        <v>1616</v>
      </c>
    </row>
    <row r="81" spans="1:7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tr">
        <f>_xlfn.XLOOKUP(Table3[[#This Row],[Location ]],Table1[Location],Table1[Oracle Location],0,0)</f>
        <v>MONEP</v>
      </c>
      <c r="F81" s="3" t="str">
        <f>_xlfn.XLOOKUP(Table3[[#This Row],[Location ]], Table1[Location],Table1[SVG Location],0,0)</f>
        <v>EP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tr">
        <f>_xlfn.XLOOKUP(Table3[[#This Row],[Location ]],Table1[Location],Table1[Oracle Location],0,0)</f>
        <v>MONXDU</v>
      </c>
      <c r="F82" s="3" t="str">
        <f>_xlfn.XLOOKUP(Table3[[#This Row],[Location ]], Table1[Location],Table1[SVG Location],0,0)</f>
        <v>XDU_1350</v>
      </c>
      <c r="G82" s="3" t="s">
        <v>1614</v>
      </c>
    </row>
    <row r="83" spans="1:7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tr">
        <f>_xlfn.XLOOKUP(Table3[[#This Row],[Location ]],Table1[Location],Table1[Oracle Location],0,0)</f>
        <v>MONEP</v>
      </c>
      <c r="F83" s="3" t="str">
        <f>_xlfn.XLOOKUP(Table3[[#This Row],[Location ]], Table1[Location],Table1[SVG Location],0,0)</f>
        <v>EP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tr">
        <f>_xlfn.XLOOKUP(Table3[[#This Row],[Location ]],Table1[Location],Table1[Oracle Location],0,0)</f>
        <v>MONKITS</v>
      </c>
      <c r="F84" s="3" t="str">
        <f>_xlfn.XLOOKUP(Table3[[#This Row],[Location ]], Table1[Location],Table1[SVG Location],0,0)</f>
        <v>Kits</v>
      </c>
      <c r="G84" s="3" t="s">
        <v>1614</v>
      </c>
    </row>
    <row r="85" spans="1:7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tr">
        <f>_xlfn.XLOOKUP(Table3[[#This Row],[Location ]],Table1[Location],Table1[Oracle Location],0,0)</f>
        <v>MONDP</v>
      </c>
      <c r="F85" s="3" t="str">
        <f>_xlfn.XLOOKUP(Table3[[#This Row],[Location ]], Table1[Location],Table1[SVG Location],0,0)</f>
        <v>DH_400</v>
      </c>
      <c r="G85" s="3" t="s">
        <v>1615</v>
      </c>
    </row>
    <row r="86" spans="1:7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tr">
        <f>_xlfn.XLOOKUP(Table3[[#This Row],[Location ]],Table1[Location],Table1[Oracle Location],0,0)</f>
        <v>MONMC</v>
      </c>
      <c r="F86" s="3" t="str">
        <f>_xlfn.XLOOKUP(Table3[[#This Row],[Location ]], Table1[Location],Table1[SVG Location],0,0)</f>
        <v>MC</v>
      </c>
      <c r="G86" s="3" t="s">
        <v>1615</v>
      </c>
    </row>
    <row r="87" spans="1:7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tr">
        <f>_xlfn.XLOOKUP(Table3[[#This Row],[Location ]],Table1[Location],Table1[Oracle Location],0,0)</f>
        <v>MONDP</v>
      </c>
      <c r="F87" s="3" t="str">
        <f>_xlfn.XLOOKUP(Table3[[#This Row],[Location ]], Table1[Location],Table1[SVG Location],0,0)</f>
        <v>DH_400</v>
      </c>
      <c r="G87" s="3" t="s">
        <v>1617</v>
      </c>
    </row>
    <row r="88" spans="1:7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tr">
        <f>_xlfn.XLOOKUP(Table3[[#This Row],[Location ]],Table1[Location],Table1[Oracle Location],0,0)</f>
        <v>MONXDU</v>
      </c>
      <c r="F88" s="3" t="str">
        <f>_xlfn.XLOOKUP(Table3[[#This Row],[Location ]], Table1[Location],Table1[SVG Location],0,0)</f>
        <v>XDU_1350</v>
      </c>
      <c r="G88" s="3" t="s">
        <v>1615</v>
      </c>
    </row>
    <row r="89" spans="1:7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tr">
        <f>_xlfn.XLOOKUP(Table3[[#This Row],[Location ]],Table1[Location],Table1[Oracle Location],0,0)</f>
        <v>MTY 1, MTY1</v>
      </c>
      <c r="F89" s="3" t="str">
        <f>_xlfn.XLOOKUP(Table3[[#This Row],[Location ]], Table1[Location],Table1[SVG Location],0,0)</f>
        <v>Warehouse</v>
      </c>
      <c r="G89" s="3" t="s">
        <v>1617</v>
      </c>
    </row>
    <row r="90" spans="1:7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tr">
        <f>_xlfn.XLOOKUP(Table3[[#This Row],[Location ]],Table1[Location],Table1[Oracle Location],0,0)</f>
        <v>MONDP</v>
      </c>
      <c r="F90" s="3" t="str">
        <f>_xlfn.XLOOKUP(Table3[[#This Row],[Location ]], Table1[Location],Table1[SVG Location],0,0)</f>
        <v>DH_400</v>
      </c>
      <c r="G90" s="3" t="s">
        <v>1617</v>
      </c>
    </row>
    <row r="91" spans="1:7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tr">
        <f>_xlfn.XLOOKUP(Table3[[#This Row],[Location ]],Table1[Location],Table1[Oracle Location],0,0)</f>
        <v>MONDP</v>
      </c>
      <c r="F91" s="3" t="str">
        <f>_xlfn.XLOOKUP(Table3[[#This Row],[Location ]], Table1[Location],Table1[SVG Location],0,0)</f>
        <v>DH_400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tr">
        <f>_xlfn.XLOOKUP(Table3[[#This Row],[Location ]],Table1[Location],Table1[Oracle Location],0,0)</f>
        <v>MONCR</v>
      </c>
      <c r="F92" s="3" t="str">
        <f>_xlfn.XLOOKUP(Table3[[#This Row],[Location ]], Table1[Location],Table1[SVG Location],0,0)</f>
        <v>CR</v>
      </c>
      <c r="G92" s="3" t="s">
        <v>1614</v>
      </c>
    </row>
    <row r="93" spans="1:7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tr">
        <f>_xlfn.XLOOKUP(Table3[[#This Row],[Location ]],Table1[Location],Table1[Oracle Location],0,0)</f>
        <v>MONMC</v>
      </c>
      <c r="F93" s="3" t="str">
        <f>_xlfn.XLOOKUP(Table3[[#This Row],[Location ]], Table1[Location],Table1[SVG Location],0,0)</f>
        <v>MC</v>
      </c>
      <c r="G93" s="3" t="s">
        <v>1617</v>
      </c>
    </row>
    <row r="94" spans="1:7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tr">
        <f>_xlfn.XLOOKUP(Table3[[#This Row],[Location ]],Table1[Location],Table1[Oracle Location],0,0)</f>
        <v>MONDP</v>
      </c>
      <c r="F94" s="3" t="str">
        <f>_xlfn.XLOOKUP(Table3[[#This Row],[Location ]], Table1[Location],Table1[SVG Location],0,0)</f>
        <v>DH_400</v>
      </c>
      <c r="G94" s="3" t="s">
        <v>1617</v>
      </c>
    </row>
    <row r="95" spans="1:7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tr">
        <f>_xlfn.XLOOKUP(Table3[[#This Row],[Location ]],Table1[Location],Table1[Oracle Location],0,0)</f>
        <v>MONPIPING</v>
      </c>
      <c r="F95" s="3" t="str">
        <f>_xlfn.XLOOKUP(Table3[[#This Row],[Location ]], Table1[Location],Table1[SVG Location],0,0)</f>
        <v>Piping</v>
      </c>
      <c r="G95" s="3" t="s">
        <v>1615</v>
      </c>
    </row>
    <row r="96" spans="1:7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tr">
        <f>_xlfn.XLOOKUP(Table3[[#This Row],[Location ]],Table1[Location],Table1[Oracle Location],0,0)</f>
        <v>MONXDM</v>
      </c>
      <c r="F96" s="3" t="str">
        <f>_xlfn.XLOOKUP(Table3[[#This Row],[Location ]], Table1[Location],Table1[SVG Location],0,0)</f>
        <v>XDM</v>
      </c>
      <c r="G96" s="3" t="s">
        <v>1617</v>
      </c>
    </row>
    <row r="97" spans="1:7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tr">
        <f>_xlfn.XLOOKUP(Table3[[#This Row],[Location ]],Table1[Location],Table1[Oracle Location],0,0)</f>
        <v>MONXDU</v>
      </c>
      <c r="F97" s="3" t="str">
        <f>_xlfn.XLOOKUP(Table3[[#This Row],[Location ]], Table1[Location],Table1[SVG Location],0,0)</f>
        <v>XDU_1350</v>
      </c>
      <c r="G97" s="3" t="s">
        <v>1617</v>
      </c>
    </row>
    <row r="98" spans="1:7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tr">
        <f>_xlfn.XLOOKUP(Table3[[#This Row],[Location ]],Table1[Location],Table1[Oracle Location],0,0)</f>
        <v>MONMC</v>
      </c>
      <c r="F98" s="3" t="str">
        <f>_xlfn.XLOOKUP(Table3[[#This Row],[Location ]], Table1[Location],Table1[SVG Location],0,0)</f>
        <v>MC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tr">
        <f>_xlfn.XLOOKUP(Table3[[#This Row],[Location ]],Table1[Location],Table1[Oracle Location],0,0)</f>
        <v>MTY3</v>
      </c>
      <c r="F99" s="3" t="str">
        <f>_xlfn.XLOOKUP(Table3[[#This Row],[Location ]], Table1[Location],Table1[SVG Location],0,0)</f>
        <v>MTY3</v>
      </c>
      <c r="G99" s="3" t="s">
        <v>1616</v>
      </c>
    </row>
    <row r="100" spans="1:7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tr">
        <f>_xlfn.XLOOKUP(Table3[[#This Row],[Location ]],Table1[Location],Table1[Oracle Location],0,0)</f>
        <v>MONDA</v>
      </c>
      <c r="F100" s="3" t="str">
        <f>_xlfn.XLOOKUP(Table3[[#This Row],[Location ]], Table1[Location],Table1[SVG Location],0,0)</f>
        <v>MONDA</v>
      </c>
      <c r="G100" s="3" t="s">
        <v>1617</v>
      </c>
    </row>
    <row r="101" spans="1:7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tr">
        <f>_xlfn.XLOOKUP(Table3[[#This Row],[Location ]],Table1[Location],Table1[Oracle Location],0,0)</f>
        <v>MONXDU</v>
      </c>
      <c r="F101" s="3" t="str">
        <f>_xlfn.XLOOKUP(Table3[[#This Row],[Location ]], Table1[Location],Table1[SVG Location],0,0)</f>
        <v>XDU_1350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tr">
        <f>_xlfn.XLOOKUP(Table3[[#This Row],[Location ]],Table1[Location],Table1[Oracle Location],0,0)</f>
        <v>MON-AFC</v>
      </c>
      <c r="F102" s="3" t="str">
        <f>_xlfn.XLOOKUP(Table3[[#This Row],[Location ]], Table1[Location],Table1[SVG Location],0,0)</f>
        <v>AFC</v>
      </c>
      <c r="G102" s="3" t="s">
        <v>1614</v>
      </c>
    </row>
    <row r="103" spans="1:7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tr">
        <f>_xlfn.XLOOKUP(Table3[[#This Row],[Location ]],Table1[Location],Table1[Oracle Location],0,0)</f>
        <v>MONXDM</v>
      </c>
      <c r="F103" s="3" t="str">
        <f>_xlfn.XLOOKUP(Table3[[#This Row],[Location ]], Table1[Location],Table1[SVG Location],0,0)</f>
        <v>XDM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f>_xlfn.XLOOKUP(Table3[[#This Row],[Location ]],Table1[Location],Table1[Oracle Location],0,0)</f>
        <v>0</v>
      </c>
      <c r="F104" s="3">
        <f>_xlfn.XLOOKUP(Table3[[#This Row],[Location ]], Table1[Location],Table1[SVG Location],0,0)</f>
        <v>0</v>
      </c>
      <c r="G104" s="3" t="s">
        <v>1614</v>
      </c>
    </row>
    <row r="105" spans="1:7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tr">
        <f>_xlfn.XLOOKUP(Table3[[#This Row],[Location ]],Table1[Location],Table1[Oracle Location],0,0)</f>
        <v>MONXDU</v>
      </c>
      <c r="F105" s="3" t="str">
        <f>_xlfn.XLOOKUP(Table3[[#This Row],[Location ]], Table1[Location],Table1[SVG Location],0,0)</f>
        <v>XDU_1350</v>
      </c>
      <c r="G105" s="3" t="s">
        <v>1617</v>
      </c>
    </row>
    <row r="106" spans="1:7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tr">
        <f>_xlfn.XLOOKUP(Table3[[#This Row],[Location ]],Table1[Location],Table1[Oracle Location],0,0)</f>
        <v>MONXDU100</v>
      </c>
      <c r="F106" s="3" t="str">
        <f>_xlfn.XLOOKUP(Table3[[#This Row],[Location ]], Table1[Location],Table1[SVG Location],0,0)</f>
        <v>XDU_100</v>
      </c>
      <c r="G106" s="3" t="s">
        <v>1617</v>
      </c>
    </row>
    <row r="107" spans="1:7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tr">
        <f>_xlfn.XLOOKUP(Table3[[#This Row],[Location ]],Table1[Location],Table1[Oracle Location],0,0)</f>
        <v>MONXDU</v>
      </c>
      <c r="F107" s="3" t="str">
        <f>_xlfn.XLOOKUP(Table3[[#This Row],[Location ]], Table1[Location],Table1[SVG Location],0,0)</f>
        <v>XDU_1350</v>
      </c>
      <c r="G107" s="3" t="s">
        <v>1617</v>
      </c>
    </row>
    <row r="108" spans="1:7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tr">
        <f>_xlfn.XLOOKUP(Table3[[#This Row],[Location ]],Table1[Location],Table1[Oracle Location],0,0)</f>
        <v>MONPIPING</v>
      </c>
      <c r="F108" s="3" t="str">
        <f>_xlfn.XLOOKUP(Table3[[#This Row],[Location ]], Table1[Location],Table1[SVG Location],0,0)</f>
        <v>Piping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tr">
        <f>_xlfn.XLOOKUP(Table3[[#This Row],[Location ]],Table1[Location],Table1[Oracle Location],0,0)</f>
        <v>MTY 1, MTY1</v>
      </c>
      <c r="F109" s="3" t="str">
        <f>_xlfn.XLOOKUP(Table3[[#This Row],[Location ]], Table1[Location],Table1[SVG Location],0,0)</f>
        <v>Warehouse</v>
      </c>
      <c r="G109" s="3" t="s">
        <v>1614</v>
      </c>
    </row>
    <row r="110" spans="1:7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tr">
        <f>_xlfn.XLOOKUP(Table3[[#This Row],[Location ]],Table1[Location],Table1[Oracle Location],0,0)</f>
        <v>MONEP</v>
      </c>
      <c r="F110" s="3" t="str">
        <f>_xlfn.XLOOKUP(Table3[[#This Row],[Location ]], Table1[Location],Table1[SVG Location],0,0)</f>
        <v>EP</v>
      </c>
      <c r="G110" s="3" t="s">
        <v>1615</v>
      </c>
    </row>
    <row r="111" spans="1:7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tr">
        <f>_xlfn.XLOOKUP(Table3[[#This Row],[Location ]],Table1[Location],Table1[Oracle Location],0,0)</f>
        <v>MONXDU</v>
      </c>
      <c r="F111" s="3" t="str">
        <f>_xlfn.XLOOKUP(Table3[[#This Row],[Location ]], Table1[Location],Table1[SVG Location],0,0)</f>
        <v>XDU_1350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tr">
        <f>_xlfn.XLOOKUP(Table3[[#This Row],[Location ]],Table1[Location],Table1[Oracle Location],0,0)</f>
        <v>MONCR</v>
      </c>
      <c r="F112" s="3" t="str">
        <f>_xlfn.XLOOKUP(Table3[[#This Row],[Location ]], Table1[Location],Table1[SVG Location],0,0)</f>
        <v>CR</v>
      </c>
      <c r="G112" s="3" t="s">
        <v>1614</v>
      </c>
    </row>
    <row r="113" spans="1:7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tr">
        <f>_xlfn.XLOOKUP(Table3[[#This Row],[Location ]],Table1[Location],Table1[Oracle Location],0,0)</f>
        <v>MONXDU</v>
      </c>
      <c r="F113" s="3" t="str">
        <f>_xlfn.XLOOKUP(Table3[[#This Row],[Location ]], Table1[Location],Table1[SVG Location],0,0)</f>
        <v>XDU_1350</v>
      </c>
      <c r="G113" s="3" t="s">
        <v>1613</v>
      </c>
    </row>
    <row r="114" spans="1:7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tr">
        <f>_xlfn.XLOOKUP(Table3[[#This Row],[Location ]],Table1[Location],Table1[Oracle Location],0,0)</f>
        <v>MONDP</v>
      </c>
      <c r="F114" s="3" t="str">
        <f>_xlfn.XLOOKUP(Table3[[#This Row],[Location ]], Table1[Location],Table1[SVG Location],0,0)</f>
        <v>DH_400</v>
      </c>
      <c r="G114" s="3" t="s">
        <v>1617</v>
      </c>
    </row>
    <row r="115" spans="1:7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tr">
        <f>_xlfn.XLOOKUP(Table3[[#This Row],[Location ]],Table1[Location],Table1[Oracle Location],0,0)</f>
        <v>MONMC</v>
      </c>
      <c r="F115" s="3" t="str">
        <f>_xlfn.XLOOKUP(Table3[[#This Row],[Location ]], Table1[Location],Table1[SVG Location],0,0)</f>
        <v>MC</v>
      </c>
      <c r="G115" s="3" t="s">
        <v>1617</v>
      </c>
    </row>
    <row r="116" spans="1:7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tr">
        <f>_xlfn.XLOOKUP(Table3[[#This Row],[Location ]],Table1[Location],Table1[Oracle Location],0,0)</f>
        <v>MONCOILS</v>
      </c>
      <c r="F116" s="3" t="str">
        <f>_xlfn.XLOOKUP(Table3[[#This Row],[Location ]], Table1[Location],Table1[SVG Location],0,0)</f>
        <v>Coils_Shop</v>
      </c>
      <c r="G116" s="3" t="s">
        <v>1617</v>
      </c>
    </row>
    <row r="117" spans="1:7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tr">
        <f>_xlfn.XLOOKUP(Table3[[#This Row],[Location ]],Table1[Location],Table1[Oracle Location],0,0)</f>
        <v>SHIP</v>
      </c>
      <c r="F117" s="3" t="str">
        <f>_xlfn.XLOOKUP(Table3[[#This Row],[Location ]], Table1[Location],Table1[SVG Location],0,0)</f>
        <v>SHIP</v>
      </c>
      <c r="G117" s="3" t="s">
        <v>1617</v>
      </c>
    </row>
    <row r="118" spans="1:7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tr">
        <f>_xlfn.XLOOKUP(Table3[[#This Row],[Location ]],Table1[Location],Table1[Oracle Location],0,0)</f>
        <v>MONMC</v>
      </c>
      <c r="F118" s="3" t="str">
        <f>_xlfn.XLOOKUP(Table3[[#This Row],[Location ]], Table1[Location],Table1[SVG Location],0,0)</f>
        <v>MC</v>
      </c>
      <c r="G118" s="3" t="s">
        <v>1617</v>
      </c>
    </row>
    <row r="119" spans="1:7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tr">
        <f>_xlfn.XLOOKUP(Table3[[#This Row],[Location ]],Table1[Location],Table1[Oracle Location],0,0)</f>
        <v>MONDP</v>
      </c>
      <c r="F119" s="3" t="str">
        <f>_xlfn.XLOOKUP(Table3[[#This Row],[Location ]], Table1[Location],Table1[SVG Location],0,0)</f>
        <v>DH_400</v>
      </c>
      <c r="G119" s="3" t="s">
        <v>1613</v>
      </c>
    </row>
    <row r="120" spans="1:7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tr">
        <f>_xlfn.XLOOKUP(Table3[[#This Row],[Location ]],Table1[Location],Table1[Oracle Location],0,0)</f>
        <v>MONDP</v>
      </c>
      <c r="F120" s="3" t="str">
        <f>_xlfn.XLOOKUP(Table3[[#This Row],[Location ]], Table1[Location],Table1[SVG Location],0,0)</f>
        <v>DH_400</v>
      </c>
      <c r="G120" s="3" t="s">
        <v>1615</v>
      </c>
    </row>
    <row r="121" spans="1:7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tr">
        <f>_xlfn.XLOOKUP(Table3[[#This Row],[Location ]],Table1[Location],Table1[Oracle Location],0,0)</f>
        <v>MONDP</v>
      </c>
      <c r="F121" s="3" t="str">
        <f>_xlfn.XLOOKUP(Table3[[#This Row],[Location ]], Table1[Location],Table1[SVG Location],0,0)</f>
        <v>DH_400</v>
      </c>
      <c r="G121" s="3" t="s">
        <v>1617</v>
      </c>
    </row>
    <row r="122" spans="1:7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tr">
        <f>_xlfn.XLOOKUP(Table3[[#This Row],[Location ]],Table1[Location],Table1[Oracle Location],0,0)</f>
        <v>MONPIPING</v>
      </c>
      <c r="F122" s="3" t="str">
        <f>_xlfn.XLOOKUP(Table3[[#This Row],[Location ]], Table1[Location],Table1[SVG Location],0,0)</f>
        <v>Piping</v>
      </c>
      <c r="G122" s="3" t="s">
        <v>1617</v>
      </c>
    </row>
    <row r="123" spans="1:7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tr">
        <f>_xlfn.XLOOKUP(Table3[[#This Row],[Location ]],Table1[Location],Table1[Oracle Location],0,0)</f>
        <v>MONXDU</v>
      </c>
      <c r="F123" s="3" t="str">
        <f>_xlfn.XLOOKUP(Table3[[#This Row],[Location ]], Table1[Location],Table1[SVG Location],0,0)</f>
        <v>XDU_1350</v>
      </c>
      <c r="G123" s="3" t="s">
        <v>1617</v>
      </c>
    </row>
    <row r="124" spans="1:7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tr">
        <f>_xlfn.XLOOKUP(Table3[[#This Row],[Location ]],Table1[Location],Table1[Oracle Location],0,0)</f>
        <v>MONDP</v>
      </c>
      <c r="F124" s="3" t="str">
        <f>_xlfn.XLOOKUP(Table3[[#This Row],[Location ]], Table1[Location],Table1[SVG Location],0,0)</f>
        <v>DH_400</v>
      </c>
      <c r="G124" s="3" t="s">
        <v>1617</v>
      </c>
    </row>
    <row r="125" spans="1:7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tr">
        <f>_xlfn.XLOOKUP(Table3[[#This Row],[Location ]],Table1[Location],Table1[Oracle Location],0,0)</f>
        <v>MONMC</v>
      </c>
      <c r="F125" s="3" t="str">
        <f>_xlfn.XLOOKUP(Table3[[#This Row],[Location ]], Table1[Location],Table1[SVG Location],0,0)</f>
        <v>MC</v>
      </c>
      <c r="G125" s="3" t="s">
        <v>1615</v>
      </c>
    </row>
    <row r="126" spans="1:7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tr">
        <f>_xlfn.XLOOKUP(Table3[[#This Row],[Location ]],Table1[Location],Table1[Oracle Location],0,0)</f>
        <v>MONDA</v>
      </c>
      <c r="F126" s="3" t="str">
        <f>_xlfn.XLOOKUP(Table3[[#This Row],[Location ]], Table1[Location],Table1[SVG Location],0,0)</f>
        <v>MONDA</v>
      </c>
      <c r="G126" s="3" t="s">
        <v>1617</v>
      </c>
    </row>
    <row r="127" spans="1:7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tr">
        <f>_xlfn.XLOOKUP(Table3[[#This Row],[Location ]],Table1[Location],Table1[Oracle Location],0,0)</f>
        <v>MONPIPING</v>
      </c>
      <c r="F127" s="3" t="str">
        <f>_xlfn.XLOOKUP(Table3[[#This Row],[Location ]], Table1[Location],Table1[SVG Location],0,0)</f>
        <v>Piping</v>
      </c>
      <c r="G127" s="3" t="s">
        <v>1617</v>
      </c>
    </row>
    <row r="128" spans="1:7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tr">
        <f>_xlfn.XLOOKUP(Table3[[#This Row],[Location ]],Table1[Location],Table1[Oracle Location],0,0)</f>
        <v>MONEP</v>
      </c>
      <c r="F128" s="3" t="str">
        <f>_xlfn.XLOOKUP(Table3[[#This Row],[Location ]], Table1[Location],Table1[SVG Location],0,0)</f>
        <v>EP</v>
      </c>
      <c r="G128" s="3" t="s">
        <v>1613</v>
      </c>
    </row>
    <row r="129" spans="1:7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tr">
        <f>_xlfn.XLOOKUP(Table3[[#This Row],[Location ]],Table1[Location],Table1[Oracle Location],0,0)</f>
        <v>MTY 1, MTY1</v>
      </c>
      <c r="F129" s="3" t="str">
        <f>_xlfn.XLOOKUP(Table3[[#This Row],[Location ]], Table1[Location],Table1[SVG Location],0,0)</f>
        <v>Warehouse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tr">
        <f>_xlfn.XLOOKUP(Table3[[#This Row],[Location ]],Table1[Location],Table1[Oracle Location],0,0)</f>
        <v>MONDP</v>
      </c>
      <c r="F130" s="3" t="str">
        <f>_xlfn.XLOOKUP(Table3[[#This Row],[Location ]], Table1[Location],Table1[SVG Location],0,0)</f>
        <v>DH_400</v>
      </c>
      <c r="G130" s="3" t="s">
        <v>1614</v>
      </c>
    </row>
    <row r="131" spans="1:7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tr">
        <f>_xlfn.XLOOKUP(Table3[[#This Row],[Location ]],Table1[Location],Table1[Oracle Location],0,0)</f>
        <v>MONEP</v>
      </c>
      <c r="F131" s="3" t="str">
        <f>_xlfn.XLOOKUP(Table3[[#This Row],[Location ]], Table1[Location],Table1[SVG Location],0,0)</f>
        <v>EP</v>
      </c>
      <c r="G131" s="3" t="s">
        <v>1617</v>
      </c>
    </row>
    <row r="132" spans="1:7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tr">
        <f>_xlfn.XLOOKUP(Table3[[#This Row],[Location ]],Table1[Location],Table1[Oracle Location],0,0)</f>
        <v>MONXDM</v>
      </c>
      <c r="F132" s="3" t="str">
        <f>_xlfn.XLOOKUP(Table3[[#This Row],[Location ]], Table1[Location],Table1[SVG Location],0,0)</f>
        <v>XDM</v>
      </c>
      <c r="G132" s="3" t="s">
        <v>1617</v>
      </c>
    </row>
    <row r="133" spans="1:7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tr">
        <f>_xlfn.XLOOKUP(Table3[[#This Row],[Location ]],Table1[Location],Table1[Oracle Location],0,0)</f>
        <v>MONEP</v>
      </c>
      <c r="F133" s="3" t="str">
        <f>_xlfn.XLOOKUP(Table3[[#This Row],[Location ]], Table1[Location],Table1[SVG Location],0,0)</f>
        <v>EP</v>
      </c>
      <c r="G133" s="3" t="s">
        <v>1615</v>
      </c>
    </row>
    <row r="134" spans="1:7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tr">
        <f>_xlfn.XLOOKUP(Table3[[#This Row],[Location ]],Table1[Location],Table1[Oracle Location],0,0)</f>
        <v>MTY 1, MTY1</v>
      </c>
      <c r="F134" s="3" t="str">
        <f>_xlfn.XLOOKUP(Table3[[#This Row],[Location ]], Table1[Location],Table1[SVG Location],0,0)</f>
        <v>Warehouse</v>
      </c>
      <c r="G134" s="3" t="s">
        <v>1617</v>
      </c>
    </row>
    <row r="135" spans="1:7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tr">
        <f>_xlfn.XLOOKUP(Table3[[#This Row],[Location ]],Table1[Location],Table1[Oracle Location],0,0)</f>
        <v>MTY 1, MTY1</v>
      </c>
      <c r="F135" s="3" t="str">
        <f>_xlfn.XLOOKUP(Table3[[#This Row],[Location ]], Table1[Location],Table1[SVG Location],0,0)</f>
        <v>Warehouse</v>
      </c>
      <c r="G135" s="3" t="s">
        <v>1617</v>
      </c>
    </row>
    <row r="136" spans="1:7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tr">
        <f>_xlfn.XLOOKUP(Table3[[#This Row],[Location ]],Table1[Location],Table1[Oracle Location],0,0)</f>
        <v>MONXDU</v>
      </c>
      <c r="F136" s="3" t="str">
        <f>_xlfn.XLOOKUP(Table3[[#This Row],[Location ]], Table1[Location],Table1[SVG Location],0,0)</f>
        <v>XDU_1350</v>
      </c>
      <c r="G136" s="3" t="s">
        <v>1617</v>
      </c>
    </row>
    <row r="137" spans="1:7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tr">
        <f>_xlfn.XLOOKUP(Table3[[#This Row],[Location ]],Table1[Location],Table1[Oracle Location],0,0)</f>
        <v>MONXDU100</v>
      </c>
      <c r="F137" s="3" t="str">
        <f>_xlfn.XLOOKUP(Table3[[#This Row],[Location ]], Table1[Location],Table1[SVG Location],0,0)</f>
        <v>XDU_100</v>
      </c>
      <c r="G137" s="3" t="s">
        <v>1617</v>
      </c>
    </row>
    <row r="138" spans="1:7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tr">
        <f>_xlfn.XLOOKUP(Table3[[#This Row],[Location ]],Table1[Location],Table1[Oracle Location],0,0)</f>
        <v>MTY 1, MTY1</v>
      </c>
      <c r="F138" s="3" t="str">
        <f>_xlfn.XLOOKUP(Table3[[#This Row],[Location ]], Table1[Location],Table1[SVG Location],0,0)</f>
        <v>Warehouse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tr">
        <f>_xlfn.XLOOKUP(Table3[[#This Row],[Location ]],Table1[Location],Table1[Oracle Location],0,0)</f>
        <v>MTY 1, MTY1</v>
      </c>
      <c r="F139" s="3" t="str">
        <f>_xlfn.XLOOKUP(Table3[[#This Row],[Location ]], Table1[Location],Table1[SVG Location],0,0)</f>
        <v>Warehouse</v>
      </c>
      <c r="G139" s="3" t="s">
        <v>1614</v>
      </c>
    </row>
    <row r="140" spans="1:7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tr">
        <f>_xlfn.XLOOKUP(Table3[[#This Row],[Location ]],Table1[Location],Table1[Oracle Location],0,0)</f>
        <v>MONDP</v>
      </c>
      <c r="F140" s="3" t="str">
        <f>_xlfn.XLOOKUP(Table3[[#This Row],[Location ]], Table1[Location],Table1[SVG Location],0,0)</f>
        <v>DH_400</v>
      </c>
      <c r="G140" s="3" t="s">
        <v>1617</v>
      </c>
    </row>
    <row r="141" spans="1:7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tr">
        <f>_xlfn.XLOOKUP(Table3[[#This Row],[Location ]],Table1[Location],Table1[Oracle Location],0,0)</f>
        <v>MONDP</v>
      </c>
      <c r="F141" s="3" t="str">
        <f>_xlfn.XLOOKUP(Table3[[#This Row],[Location ]], Table1[Location],Table1[SVG Location],0,0)</f>
        <v>DH_400</v>
      </c>
      <c r="G141" s="3" t="s">
        <v>1617</v>
      </c>
    </row>
    <row r="142" spans="1:7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tr">
        <f>_xlfn.XLOOKUP(Table3[[#This Row],[Location ]],Table1[Location],Table1[Oracle Location],0,0)</f>
        <v>MONMC</v>
      </c>
      <c r="F142" s="3" t="str">
        <f>_xlfn.XLOOKUP(Table3[[#This Row],[Location ]], Table1[Location],Table1[SVG Location],0,0)</f>
        <v>MC</v>
      </c>
      <c r="G142" s="3" t="s">
        <v>1617</v>
      </c>
    </row>
    <row r="143" spans="1:7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tr">
        <f>_xlfn.XLOOKUP(Table3[[#This Row],[Location ]],Table1[Location],Table1[Oracle Location],0,0)</f>
        <v>MONDP</v>
      </c>
      <c r="F143" s="3" t="str">
        <f>_xlfn.XLOOKUP(Table3[[#This Row],[Location ]], Table1[Location],Table1[SVG Location],0,0)</f>
        <v>DH_400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tr">
        <f>_xlfn.XLOOKUP(Table3[[#This Row],[Location ]],Table1[Location],Table1[Oracle Location],0,0)</f>
        <v>MONXDU</v>
      </c>
      <c r="F144" s="3" t="str">
        <f>_xlfn.XLOOKUP(Table3[[#This Row],[Location ]], Table1[Location],Table1[SVG Location],0,0)</f>
        <v>XDU_1350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f>_xlfn.XLOOKUP(Table3[[#This Row],[Location ]],Table1[Location],Table1[Oracle Location],0,0)</f>
        <v>0</v>
      </c>
      <c r="F145" s="3">
        <f>_xlfn.XLOOKUP(Table3[[#This Row],[Location ]], Table1[Location],Table1[SVG Location],0,0)</f>
        <v>0</v>
      </c>
      <c r="G145" s="3" t="s">
        <v>1614</v>
      </c>
    </row>
    <row r="146" spans="1:7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tr">
        <f>_xlfn.XLOOKUP(Table3[[#This Row],[Location ]],Table1[Location],Table1[Oracle Location],0,0)</f>
        <v>MONCR</v>
      </c>
      <c r="F146" s="3" t="str">
        <f>_xlfn.XLOOKUP(Table3[[#This Row],[Location ]], Table1[Location],Table1[SVG Location],0,0)</f>
        <v>CR</v>
      </c>
      <c r="G146" s="3" t="s">
        <v>1617</v>
      </c>
    </row>
    <row r="147" spans="1:7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tr">
        <f>_xlfn.XLOOKUP(Table3[[#This Row],[Location ]],Table1[Location],Table1[Oracle Location],0,0)</f>
        <v>MONDP</v>
      </c>
      <c r="F147" s="3" t="str">
        <f>_xlfn.XLOOKUP(Table3[[#This Row],[Location ]], Table1[Location],Table1[SVG Location],0,0)</f>
        <v>DH_400</v>
      </c>
      <c r="G147" s="3" t="s">
        <v>1613</v>
      </c>
    </row>
    <row r="148" spans="1:7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tr">
        <f>_xlfn.XLOOKUP(Table3[[#This Row],[Location ]],Table1[Location],Table1[Oracle Location],0,0)</f>
        <v>MONMC</v>
      </c>
      <c r="F148" s="3" t="str">
        <f>_xlfn.XLOOKUP(Table3[[#This Row],[Location ]], Table1[Location],Table1[SVG Location],0,0)</f>
        <v>MC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tr">
        <f>_xlfn.XLOOKUP(Table3[[#This Row],[Location ]],Table1[Location],Table1[Oracle Location],0,0)</f>
        <v>MONPIPING</v>
      </c>
      <c r="F149" s="3" t="str">
        <f>_xlfn.XLOOKUP(Table3[[#This Row],[Location ]], Table1[Location],Table1[SVG Location],0,0)</f>
        <v>Piping</v>
      </c>
      <c r="G149" s="3" t="s">
        <v>1614</v>
      </c>
    </row>
    <row r="150" spans="1:7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tr">
        <f>_xlfn.XLOOKUP(Table3[[#This Row],[Location ]],Table1[Location],Table1[Oracle Location],0,0)</f>
        <v>MONMC</v>
      </c>
      <c r="F150" s="3" t="str">
        <f>_xlfn.XLOOKUP(Table3[[#This Row],[Location ]], Table1[Location],Table1[SVG Location],0,0)</f>
        <v>MC</v>
      </c>
      <c r="G150" s="3" t="s">
        <v>1617</v>
      </c>
    </row>
    <row r="151" spans="1:7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tr">
        <f>_xlfn.XLOOKUP(Table3[[#This Row],[Location ]],Table1[Location],Table1[Oracle Location],0,0)</f>
        <v>MONPIPING</v>
      </c>
      <c r="F151" s="3" t="str">
        <f>_xlfn.XLOOKUP(Table3[[#This Row],[Location ]], Table1[Location],Table1[SVG Location],0,0)</f>
        <v>Piping</v>
      </c>
      <c r="G151" s="3" t="s">
        <v>1617</v>
      </c>
    </row>
    <row r="152" spans="1:7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tr">
        <f>_xlfn.XLOOKUP(Table3[[#This Row],[Location ]],Table1[Location],Table1[Oracle Location],0,0)</f>
        <v>MONPRE</v>
      </c>
      <c r="F152" s="3" t="str">
        <f>_xlfn.XLOOKUP(Table3[[#This Row],[Location ]], Table1[Location],Table1[SVG Location],0,0)</f>
        <v>PRE_L1</v>
      </c>
      <c r="G152" s="3" t="s">
        <v>1615</v>
      </c>
    </row>
    <row r="153" spans="1:7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tr">
        <f>_xlfn.XLOOKUP(Table3[[#This Row],[Location ]],Table1[Location],Table1[Oracle Location],0,0)</f>
        <v>MONMC</v>
      </c>
      <c r="F153" s="3" t="str">
        <f>_xlfn.XLOOKUP(Table3[[#This Row],[Location ]], Table1[Location],Table1[SVG Location],0,0)</f>
        <v>MC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tr">
        <f>_xlfn.XLOOKUP(Table3[[#This Row],[Location ]],Table1[Location],Table1[Oracle Location],0,0)</f>
        <v>MONPIPING</v>
      </c>
      <c r="F154" s="3" t="str">
        <f>_xlfn.XLOOKUP(Table3[[#This Row],[Location ]], Table1[Location],Table1[SVG Location],0,0)</f>
        <v>Piping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tr">
        <f>_xlfn.XLOOKUP(Table3[[#This Row],[Location ]],Table1[Location],Table1[Oracle Location],0,0)</f>
        <v>MTY 1, MTY1</v>
      </c>
      <c r="F155" s="3" t="str">
        <f>_xlfn.XLOOKUP(Table3[[#This Row],[Location ]], Table1[Location],Table1[SVG Location],0,0)</f>
        <v>Warehouse</v>
      </c>
      <c r="G155" s="3" t="s">
        <v>1614</v>
      </c>
    </row>
    <row r="156" spans="1:7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tr">
        <f>_xlfn.XLOOKUP(Table3[[#This Row],[Location ]],Table1[Location],Table1[Oracle Location],0,0)</f>
        <v>MONEP</v>
      </c>
      <c r="F156" s="3" t="str">
        <f>_xlfn.XLOOKUP(Table3[[#This Row],[Location ]], Table1[Location],Table1[SVG Location],0,0)</f>
        <v>EP</v>
      </c>
      <c r="G156" s="3" t="s">
        <v>1613</v>
      </c>
    </row>
    <row r="157" spans="1:7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tr">
        <f>_xlfn.XLOOKUP(Table3[[#This Row],[Location ]],Table1[Location],Table1[Oracle Location],0,0)</f>
        <v>MONMC</v>
      </c>
      <c r="F157" s="3" t="str">
        <f>_xlfn.XLOOKUP(Table3[[#This Row],[Location ]], Table1[Location],Table1[SVG Location],0,0)</f>
        <v>MC</v>
      </c>
      <c r="G157" s="3" t="s">
        <v>1615</v>
      </c>
    </row>
    <row r="158" spans="1:7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tr">
        <f>_xlfn.XLOOKUP(Table3[[#This Row],[Location ]],Table1[Location],Table1[Oracle Location],0,0)</f>
        <v>MONCOILS</v>
      </c>
      <c r="F158" s="3" t="str">
        <f>_xlfn.XLOOKUP(Table3[[#This Row],[Location ]], Table1[Location],Table1[SVG Location],0,0)</f>
        <v>Coils_Shop</v>
      </c>
      <c r="G158" s="3" t="s">
        <v>1615</v>
      </c>
    </row>
    <row r="159" spans="1:7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tr">
        <f>_xlfn.XLOOKUP(Table3[[#This Row],[Location ]],Table1[Location],Table1[Oracle Location],0,0)</f>
        <v>MONDP</v>
      </c>
      <c r="F159" s="3" t="str">
        <f>_xlfn.XLOOKUP(Table3[[#This Row],[Location ]], Table1[Location],Table1[SVG Location],0,0)</f>
        <v>DH_400</v>
      </c>
      <c r="G159" s="3" t="s">
        <v>1615</v>
      </c>
    </row>
    <row r="160" spans="1:7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tr">
        <f>_xlfn.XLOOKUP(Table3[[#This Row],[Location ]],Table1[Location],Table1[Oracle Location],0,0)</f>
        <v>MONEP</v>
      </c>
      <c r="F160" s="3" t="str">
        <f>_xlfn.XLOOKUP(Table3[[#This Row],[Location ]], Table1[Location],Table1[SVG Location],0,0)</f>
        <v>EP</v>
      </c>
      <c r="G160" s="3" t="s">
        <v>1613</v>
      </c>
    </row>
    <row r="161" spans="1:7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tr">
        <f>_xlfn.XLOOKUP(Table3[[#This Row],[Location ]],Table1[Location],Table1[Oracle Location],0,0)</f>
        <v>MONDP</v>
      </c>
      <c r="F161" s="3" t="str">
        <f>_xlfn.XLOOKUP(Table3[[#This Row],[Location ]], Table1[Location],Table1[SVG Location],0,0)</f>
        <v>DH_400</v>
      </c>
      <c r="G161" s="3" t="s">
        <v>1613</v>
      </c>
    </row>
    <row r="162" spans="1:7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tr">
        <f>_xlfn.XLOOKUP(Table3[[#This Row],[Location ]],Table1[Location],Table1[Oracle Location],0,0)</f>
        <v>MONDP</v>
      </c>
      <c r="F162" s="3" t="str">
        <f>_xlfn.XLOOKUP(Table3[[#This Row],[Location ]], Table1[Location],Table1[SVG Location],0,0)</f>
        <v>DH_400</v>
      </c>
      <c r="G162" s="3" t="s">
        <v>1613</v>
      </c>
    </row>
    <row r="163" spans="1:7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tr">
        <f>_xlfn.XLOOKUP(Table3[[#This Row],[Location ]],Table1[Location],Table1[Oracle Location],0,0)</f>
        <v>MTY 1, MTY1</v>
      </c>
      <c r="F163" s="3" t="str">
        <f>_xlfn.XLOOKUP(Table3[[#This Row],[Location ]], Table1[Location],Table1[SVG Location],0,0)</f>
        <v>Warehouse</v>
      </c>
      <c r="G163" s="3" t="s">
        <v>1613</v>
      </c>
    </row>
    <row r="164" spans="1:7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tr">
        <f>_xlfn.XLOOKUP(Table3[[#This Row],[Location ]],Table1[Location],Table1[Oracle Location],0,0)</f>
        <v>MONPRE</v>
      </c>
      <c r="F164" s="3" t="str">
        <f>_xlfn.XLOOKUP(Table3[[#This Row],[Location ]], Table1[Location],Table1[SVG Location],0,0)</f>
        <v>PRE_L1</v>
      </c>
      <c r="G164" s="3" t="s">
        <v>1615</v>
      </c>
    </row>
    <row r="165" spans="1:7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tr">
        <f>_xlfn.XLOOKUP(Table3[[#This Row],[Location ]],Table1[Location],Table1[Oracle Location],0,0)</f>
        <v>MONDP</v>
      </c>
      <c r="F165" s="3" t="str">
        <f>_xlfn.XLOOKUP(Table3[[#This Row],[Location ]], Table1[Location],Table1[SVG Location],0,0)</f>
        <v>DH_400</v>
      </c>
      <c r="G165" s="3" t="s">
        <v>1613</v>
      </c>
    </row>
    <row r="166" spans="1:7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tr">
        <f>_xlfn.XLOOKUP(Table3[[#This Row],[Location ]],Table1[Location],Table1[Oracle Location],0,0)</f>
        <v>MONDP</v>
      </c>
      <c r="F166" s="3" t="str">
        <f>_xlfn.XLOOKUP(Table3[[#This Row],[Location ]], Table1[Location],Table1[SVG Location],0,0)</f>
        <v>DH_400</v>
      </c>
      <c r="G166" s="3" t="s">
        <v>1615</v>
      </c>
    </row>
    <row r="167" spans="1:7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tr">
        <f>_xlfn.XLOOKUP(Table3[[#This Row],[Location ]],Table1[Location],Table1[Oracle Location],0,0)</f>
        <v>MONCR</v>
      </c>
      <c r="F167" s="3" t="str">
        <f>_xlfn.XLOOKUP(Table3[[#This Row],[Location ]], Table1[Location],Table1[SVG Location],0,0)</f>
        <v>CR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tr">
        <f>_xlfn.XLOOKUP(Table3[[#This Row],[Location ]],Table1[Location],Table1[Oracle Location],0,0)</f>
        <v>MONPIPING</v>
      </c>
      <c r="F168" s="3" t="str">
        <f>_xlfn.XLOOKUP(Table3[[#This Row],[Location ]], Table1[Location],Table1[SVG Location],0,0)</f>
        <v>Piping</v>
      </c>
      <c r="G168" s="3" t="s">
        <v>1614</v>
      </c>
    </row>
    <row r="169" spans="1:7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tr">
        <f>_xlfn.XLOOKUP(Table3[[#This Row],[Location ]],Table1[Location],Table1[Oracle Location],0,0)</f>
        <v>MTY 1, MTY1</v>
      </c>
      <c r="F169" s="3" t="str">
        <f>_xlfn.XLOOKUP(Table3[[#This Row],[Location ]], Table1[Location],Table1[SVG Location],0,0)</f>
        <v>Warehouse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tr">
        <f>_xlfn.XLOOKUP(Table3[[#This Row],[Location ]],Table1[Location],Table1[Oracle Location],0,0)</f>
        <v>ALL</v>
      </c>
      <c r="F170" s="3" t="str">
        <f>_xlfn.XLOOKUP(Table3[[#This Row],[Location ]], Table1[Location],Table1[SVG Location],0,0)</f>
        <v>ALL</v>
      </c>
      <c r="G170" s="3">
        <v>0</v>
      </c>
    </row>
    <row r="171" spans="1:7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tr">
        <f>_xlfn.XLOOKUP(Table3[[#This Row],[Location ]],Table1[Location],Table1[Oracle Location],0,0)</f>
        <v>MONSKID</v>
      </c>
      <c r="F171" s="3" t="str">
        <f>_xlfn.XLOOKUP(Table3[[#This Row],[Location ]], Table1[Location],Table1[SVG Location],0,0)</f>
        <v>SKID</v>
      </c>
      <c r="G171" s="3" t="s">
        <v>1617</v>
      </c>
    </row>
    <row r="172" spans="1:7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tr">
        <f>_xlfn.XLOOKUP(Table3[[#This Row],[Location ]],Table1[Location],Table1[Oracle Location],0,0)</f>
        <v>MTY 1, MTY1</v>
      </c>
      <c r="F172" s="3" t="str">
        <f>_xlfn.XLOOKUP(Table3[[#This Row],[Location ]], Table1[Location],Table1[SVG Location],0,0)</f>
        <v>Warehouse</v>
      </c>
      <c r="G172" s="3" t="s">
        <v>1617</v>
      </c>
    </row>
    <row r="173" spans="1:7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tr">
        <f>_xlfn.XLOOKUP(Table3[[#This Row],[Location ]],Table1[Location],Table1[Oracle Location],0,0)</f>
        <v>MONDP</v>
      </c>
      <c r="F173" s="3" t="str">
        <f>_xlfn.XLOOKUP(Table3[[#This Row],[Location ]], Table1[Location],Table1[SVG Location],0,0)</f>
        <v>DH_400</v>
      </c>
      <c r="G173" s="3" t="s">
        <v>1613</v>
      </c>
    </row>
    <row r="174" spans="1:7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tr">
        <f>_xlfn.XLOOKUP(Table3[[#This Row],[Location ]],Table1[Location],Table1[Oracle Location],0,0)</f>
        <v>MONXDU</v>
      </c>
      <c r="F174" s="3" t="str">
        <f>_xlfn.XLOOKUP(Table3[[#This Row],[Location ]], Table1[Location],Table1[SVG Location],0,0)</f>
        <v>XDU_1350</v>
      </c>
      <c r="G174" s="3" t="s">
        <v>1617</v>
      </c>
    </row>
    <row r="175" spans="1:7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tr">
        <f>_xlfn.XLOOKUP(Table3[[#This Row],[Location ]],Table1[Location],Table1[Oracle Location],0,0)</f>
        <v>MONCOILS</v>
      </c>
      <c r="F175" s="3" t="str">
        <f>_xlfn.XLOOKUP(Table3[[#This Row],[Location ]], Table1[Location],Table1[SVG Location],0,0)</f>
        <v>Coils_Shop</v>
      </c>
      <c r="G175" s="3" t="s">
        <v>1613</v>
      </c>
    </row>
    <row r="176" spans="1:7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tr">
        <f>_xlfn.XLOOKUP(Table3[[#This Row],[Location ]],Table1[Location],Table1[Oracle Location],0,0)</f>
        <v>MONDP</v>
      </c>
      <c r="F176" s="3" t="str">
        <f>_xlfn.XLOOKUP(Table3[[#This Row],[Location ]], Table1[Location],Table1[SVG Location],0,0)</f>
        <v>DH_400</v>
      </c>
      <c r="G176" s="3" t="s">
        <v>1617</v>
      </c>
    </row>
    <row r="177" spans="1:7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tr">
        <f>_xlfn.XLOOKUP(Table3[[#This Row],[Location ]],Table1[Location],Table1[Oracle Location],0,0)</f>
        <v>MONDP</v>
      </c>
      <c r="F177" s="3" t="str">
        <f>_xlfn.XLOOKUP(Table3[[#This Row],[Location ]], Table1[Location],Table1[SVG Location],0,0)</f>
        <v>DH_400</v>
      </c>
      <c r="G177" s="3" t="s">
        <v>1613</v>
      </c>
    </row>
    <row r="178" spans="1:7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tr">
        <f>_xlfn.XLOOKUP(Table3[[#This Row],[Location ]],Table1[Location],Table1[Oracle Location],0,0)</f>
        <v>MONXDU</v>
      </c>
      <c r="F178" s="3" t="str">
        <f>_xlfn.XLOOKUP(Table3[[#This Row],[Location ]], Table1[Location],Table1[SVG Location],0,0)</f>
        <v>XDU_1350</v>
      </c>
      <c r="G178" s="3" t="s">
        <v>1617</v>
      </c>
    </row>
    <row r="179" spans="1:7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tr">
        <f>_xlfn.XLOOKUP(Table3[[#This Row],[Location ]],Table1[Location],Table1[Oracle Location],0,0)</f>
        <v>MONDP</v>
      </c>
      <c r="F179" s="3" t="str">
        <f>_xlfn.XLOOKUP(Table3[[#This Row],[Location ]], Table1[Location],Table1[SVG Location],0,0)</f>
        <v>DH_400</v>
      </c>
      <c r="G179" s="3" t="s">
        <v>1613</v>
      </c>
    </row>
    <row r="180" spans="1:7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tr">
        <f>_xlfn.XLOOKUP(Table3[[#This Row],[Location ]],Table1[Location],Table1[Oracle Location],0,0)</f>
        <v>MONEP</v>
      </c>
      <c r="F180" s="3" t="str">
        <f>_xlfn.XLOOKUP(Table3[[#This Row],[Location ]], Table1[Location],Table1[SVG Location],0,0)</f>
        <v>EP</v>
      </c>
      <c r="G180" s="3" t="s">
        <v>1613</v>
      </c>
    </row>
    <row r="181" spans="1:7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tr">
        <f>_xlfn.XLOOKUP(Table3[[#This Row],[Location ]],Table1[Location],Table1[Oracle Location],0,0)</f>
        <v>MONDA</v>
      </c>
      <c r="F181" s="3" t="str">
        <f>_xlfn.XLOOKUP(Table3[[#This Row],[Location ]], Table1[Location],Table1[SVG Location],0,0)</f>
        <v>MONDA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tr">
        <f>_xlfn.XLOOKUP(Table3[[#This Row],[Location ]],Table1[Location],Table1[Oracle Location],0,0)</f>
        <v>MONDP</v>
      </c>
      <c r="F182" s="3" t="str">
        <f>_xlfn.XLOOKUP(Table3[[#This Row],[Location ]], Table1[Location],Table1[SVG Location],0,0)</f>
        <v>DH_400</v>
      </c>
      <c r="G182" s="3" t="s">
        <v>1614</v>
      </c>
    </row>
    <row r="183" spans="1:7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tr">
        <f>_xlfn.XLOOKUP(Table3[[#This Row],[Location ]],Table1[Location],Table1[Oracle Location],0,0)</f>
        <v>MONEP</v>
      </c>
      <c r="F183" s="3" t="str">
        <f>_xlfn.XLOOKUP(Table3[[#This Row],[Location ]], Table1[Location],Table1[SVG Location],0,0)</f>
        <v>EP</v>
      </c>
      <c r="G183" s="3" t="s">
        <v>1617</v>
      </c>
    </row>
    <row r="184" spans="1:7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tr">
        <f>_xlfn.XLOOKUP(Table3[[#This Row],[Location ]],Table1[Location],Table1[Oracle Location],0,0)</f>
        <v>MONDP</v>
      </c>
      <c r="F184" s="3" t="str">
        <f>_xlfn.XLOOKUP(Table3[[#This Row],[Location ]], Table1[Location],Table1[SVG Location],0,0)</f>
        <v>DH_400</v>
      </c>
      <c r="G184" s="3" t="s">
        <v>1617</v>
      </c>
    </row>
    <row r="185" spans="1:7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tr">
        <f>_xlfn.XLOOKUP(Table3[[#This Row],[Location ]],Table1[Location],Table1[Oracle Location],0,0)</f>
        <v>MONEP</v>
      </c>
      <c r="F185" s="3" t="str">
        <f>_xlfn.XLOOKUP(Table3[[#This Row],[Location ]], Table1[Location],Table1[SVG Location],0,0)</f>
        <v>EP</v>
      </c>
      <c r="G185" s="3" t="s">
        <v>1615</v>
      </c>
    </row>
    <row r="186" spans="1:7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tr">
        <f>_xlfn.XLOOKUP(Table3[[#This Row],[Location ]],Table1[Location],Table1[Oracle Location],0,0)</f>
        <v>MONMC</v>
      </c>
      <c r="F186" s="3" t="str">
        <f>_xlfn.XLOOKUP(Table3[[#This Row],[Location ]], Table1[Location],Table1[SVG Location],0,0)</f>
        <v>MC</v>
      </c>
      <c r="G186" s="3" t="s">
        <v>1615</v>
      </c>
    </row>
    <row r="187" spans="1:7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tr">
        <f>_xlfn.XLOOKUP(Table3[[#This Row],[Location ]],Table1[Location],Table1[Oracle Location],0,0)</f>
        <v>MONCOILS</v>
      </c>
      <c r="F187" s="3" t="str">
        <f>_xlfn.XLOOKUP(Table3[[#This Row],[Location ]], Table1[Location],Table1[SVG Location],0,0)</f>
        <v>Coils_Shop</v>
      </c>
      <c r="G187" s="3" t="s">
        <v>1613</v>
      </c>
    </row>
    <row r="188" spans="1:7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tr">
        <f>_xlfn.XLOOKUP(Table3[[#This Row],[Location ]],Table1[Location],Table1[Oracle Location],0,0)</f>
        <v>MONSKID</v>
      </c>
      <c r="F188" s="3" t="str">
        <f>_xlfn.XLOOKUP(Table3[[#This Row],[Location ]], Table1[Location],Table1[SVG Location],0,0)</f>
        <v>SKID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tr">
        <f>_xlfn.XLOOKUP(Table3[[#This Row],[Location ]],Table1[Location],Table1[Oracle Location],0,0)</f>
        <v>MON-AFC</v>
      </c>
      <c r="F189" s="3" t="str">
        <f>_xlfn.XLOOKUP(Table3[[#This Row],[Location ]], Table1[Location],Table1[SVG Location],0,0)</f>
        <v>AFC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tr">
        <f>_xlfn.XLOOKUP(Table3[[#This Row],[Location ]],Table1[Location],Table1[Oracle Location],0,0)</f>
        <v>ALL</v>
      </c>
      <c r="F190" s="3" t="str">
        <f>_xlfn.XLOOKUP(Table3[[#This Row],[Location ]], Table1[Location],Table1[SVG Location],0,0)</f>
        <v>ALL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tr">
        <f>_xlfn.XLOOKUP(Table3[[#This Row],[Location ]],Table1[Location],Table1[Oracle Location],0,0)</f>
        <v>MON-AFC</v>
      </c>
      <c r="F191" s="3" t="str">
        <f>_xlfn.XLOOKUP(Table3[[#This Row],[Location ]], Table1[Location],Table1[SVG Location],0,0)</f>
        <v>AFC</v>
      </c>
      <c r="G191" s="3" t="s">
        <v>1614</v>
      </c>
    </row>
    <row r="192" spans="1:7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tr">
        <f>_xlfn.XLOOKUP(Table3[[#This Row],[Location ]],Table1[Location],Table1[Oracle Location],0,0)</f>
        <v>MONCR</v>
      </c>
      <c r="F192" s="3" t="str">
        <f>_xlfn.XLOOKUP(Table3[[#This Row],[Location ]], Table1[Location],Table1[SVG Location],0,0)</f>
        <v>CR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tr">
        <f>_xlfn.XLOOKUP(Table3[[#This Row],[Location ]],Table1[Location],Table1[Oracle Location],0,0)</f>
        <v>MONDP</v>
      </c>
      <c r="F193" s="3" t="str">
        <f>_xlfn.XLOOKUP(Table3[[#This Row],[Location ]], Table1[Location],Table1[SVG Location],0,0)</f>
        <v>DH_400</v>
      </c>
      <c r="G193" s="3" t="s">
        <v>1614</v>
      </c>
    </row>
    <row r="194" spans="1:7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tr">
        <f>_xlfn.XLOOKUP(Table3[[#This Row],[Location ]],Table1[Location],Table1[Oracle Location],0,0)</f>
        <v>MONMC</v>
      </c>
      <c r="F194" s="3" t="str">
        <f>_xlfn.XLOOKUP(Table3[[#This Row],[Location ]], Table1[Location],Table1[SVG Location],0,0)</f>
        <v>MC</v>
      </c>
      <c r="G194" s="3" t="s">
        <v>1617</v>
      </c>
    </row>
    <row r="195" spans="1:7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tr">
        <f>_xlfn.XLOOKUP(Table3[[#This Row],[Location ]],Table1[Location],Table1[Oracle Location],0,0)</f>
        <v>MONDA</v>
      </c>
      <c r="F195" s="3" t="str">
        <f>_xlfn.XLOOKUP(Table3[[#This Row],[Location ]], Table1[Location],Table1[SVG Location],0,0)</f>
        <v>MONDA</v>
      </c>
      <c r="G195" s="3" t="s">
        <v>1617</v>
      </c>
    </row>
    <row r="196" spans="1:7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tr">
        <f>_xlfn.XLOOKUP(Table3[[#This Row],[Location ]],Table1[Location],Table1[Oracle Location],0,0)</f>
        <v>MONEP</v>
      </c>
      <c r="F196" s="3" t="str">
        <f>_xlfn.XLOOKUP(Table3[[#This Row],[Location ]], Table1[Location],Table1[SVG Location],0,0)</f>
        <v>EP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tr">
        <f>_xlfn.XLOOKUP(Table3[[#This Row],[Location ]],Table1[Location],Table1[Oracle Location],0,0)</f>
        <v>MTY 1, MTY1</v>
      </c>
      <c r="F197" s="3" t="str">
        <f>_xlfn.XLOOKUP(Table3[[#This Row],[Location ]], Table1[Location],Table1[SVG Location],0,0)</f>
        <v>Warehouse</v>
      </c>
      <c r="G197" s="3" t="s">
        <v>1614</v>
      </c>
    </row>
    <row r="198" spans="1:7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tr">
        <f>_xlfn.XLOOKUP(Table3[[#This Row],[Location ]],Table1[Location],Table1[Oracle Location],0,0)</f>
        <v>MONMC</v>
      </c>
      <c r="F198" s="3" t="str">
        <f>_xlfn.XLOOKUP(Table3[[#This Row],[Location ]], Table1[Location],Table1[SVG Location],0,0)</f>
        <v>MC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tr">
        <f>_xlfn.XLOOKUP(Table3[[#This Row],[Location ]],Table1[Location],Table1[Oracle Location],0,0)</f>
        <v>MRBM</v>
      </c>
      <c r="F199" s="3" t="str">
        <f>_xlfn.XLOOKUP(Table3[[#This Row],[Location ]], Table1[Location],Table1[SVG Location],0,0)</f>
        <v>MRB</v>
      </c>
      <c r="G199" s="3" t="s">
        <v>1614</v>
      </c>
    </row>
    <row r="200" spans="1:7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tr">
        <f>_xlfn.XLOOKUP(Table3[[#This Row],[Location ]],Table1[Location],Table1[Oracle Location],0,0)</f>
        <v>MONBLW</v>
      </c>
      <c r="F200" s="3" t="str">
        <f>_xlfn.XLOOKUP(Table3[[#This Row],[Location ]], Table1[Location],Table1[SVG Location],0,0)</f>
        <v>Blower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tr">
        <f>_xlfn.XLOOKUP(Table3[[#This Row],[Location ]],Table1[Location],Table1[Oracle Location],0,0)</f>
        <v>MTY 1, MTY1</v>
      </c>
      <c r="F201" s="3" t="str">
        <f>_xlfn.XLOOKUP(Table3[[#This Row],[Location ]], Table1[Location],Table1[SVG Location],0,0)</f>
        <v>Warehouse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tr">
        <f>_xlfn.XLOOKUP(Table3[[#This Row],[Location ]],Table1[Location],Table1[Oracle Location],0,0)</f>
        <v>MONXDM</v>
      </c>
      <c r="F202" s="3" t="str">
        <f>_xlfn.XLOOKUP(Table3[[#This Row],[Location ]], Table1[Location],Table1[SVG Location],0,0)</f>
        <v>XDM</v>
      </c>
      <c r="G202" s="3" t="s">
        <v>1614</v>
      </c>
    </row>
    <row r="203" spans="1:7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tr">
        <f>_xlfn.XLOOKUP(Table3[[#This Row],[Location ]],Table1[Location],Table1[Oracle Location],0,0)</f>
        <v>MONEP</v>
      </c>
      <c r="F203" s="3" t="str">
        <f>_xlfn.XLOOKUP(Table3[[#This Row],[Location ]], Table1[Location],Table1[SVG Location],0,0)</f>
        <v>EP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tr">
        <f>_xlfn.XLOOKUP(Table3[[#This Row],[Location ]],Table1[Location],Table1[Oracle Location],0,0)</f>
        <v>MONMC</v>
      </c>
      <c r="F204" s="3" t="str">
        <f>_xlfn.XLOOKUP(Table3[[#This Row],[Location ]], Table1[Location],Table1[SVG Location],0,0)</f>
        <v>MC</v>
      </c>
      <c r="G204" s="3" t="s">
        <v>1616</v>
      </c>
    </row>
    <row r="205" spans="1:7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tr">
        <f>_xlfn.XLOOKUP(Table3[[#This Row],[Location ]],Table1[Location],Table1[Oracle Location],0,0)</f>
        <v>MONDP</v>
      </c>
      <c r="F205" s="3" t="str">
        <f>_xlfn.XLOOKUP(Table3[[#This Row],[Location ]], Table1[Location],Table1[SVG Location],0,0)</f>
        <v>DH_400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tr">
        <f>_xlfn.XLOOKUP(Table3[[#This Row],[Location ]],Table1[Location],Table1[Oracle Location],0,0)</f>
        <v>MTY 1, MTY1</v>
      </c>
      <c r="F206" s="3" t="str">
        <f>_xlfn.XLOOKUP(Table3[[#This Row],[Location ]], Table1[Location],Table1[SVG Location],0,0)</f>
        <v>Warehouse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tr">
        <f>_xlfn.XLOOKUP(Table3[[#This Row],[Location ]],Table1[Location],Table1[Oracle Location],0,0)</f>
        <v>MONPRE</v>
      </c>
      <c r="F207" s="3" t="str">
        <f>_xlfn.XLOOKUP(Table3[[#This Row],[Location ]], Table1[Location],Table1[SVG Location],0,0)</f>
        <v>PRE_L1</v>
      </c>
      <c r="G207" s="3" t="s">
        <v>1614</v>
      </c>
    </row>
    <row r="208" spans="1:7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tr">
        <f>_xlfn.XLOOKUP(Table3[[#This Row],[Location ]],Table1[Location],Table1[Oracle Location],0,0)</f>
        <v>MONBLW</v>
      </c>
      <c r="F208" s="3" t="str">
        <f>_xlfn.XLOOKUP(Table3[[#This Row],[Location ]], Table1[Location],Table1[SVG Location],0,0)</f>
        <v>Blower</v>
      </c>
      <c r="G208" s="3" t="s">
        <v>1617</v>
      </c>
    </row>
    <row r="209" spans="1:7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tr">
        <f>_xlfn.XLOOKUP(Table3[[#This Row],[Location ]],Table1[Location],Table1[Oracle Location],0,0)</f>
        <v>MONDP</v>
      </c>
      <c r="F209" s="3" t="str">
        <f>_xlfn.XLOOKUP(Table3[[#This Row],[Location ]], Table1[Location],Table1[SVG Location],0,0)</f>
        <v>DH_400</v>
      </c>
      <c r="G209" s="3" t="s">
        <v>1617</v>
      </c>
    </row>
    <row r="210" spans="1:7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tr">
        <f>_xlfn.XLOOKUP(Table3[[#This Row],[Location ]],Table1[Location],Table1[Oracle Location],0,0)</f>
        <v>MONDP</v>
      </c>
      <c r="F210" s="3" t="str">
        <f>_xlfn.XLOOKUP(Table3[[#This Row],[Location ]], Table1[Location],Table1[SVG Location],0,0)</f>
        <v>DH_400</v>
      </c>
      <c r="G210" s="3" t="s">
        <v>1615</v>
      </c>
    </row>
    <row r="211" spans="1:7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tr">
        <f>_xlfn.XLOOKUP(Table3[[#This Row],[Location ]],Table1[Location],Table1[Oracle Location],0,0)</f>
        <v>MONDP</v>
      </c>
      <c r="F211" s="3" t="str">
        <f>_xlfn.XLOOKUP(Table3[[#This Row],[Location ]], Table1[Location],Table1[SVG Location],0,0)</f>
        <v>DH_400</v>
      </c>
      <c r="G211" s="3" t="s">
        <v>1613</v>
      </c>
    </row>
    <row r="212" spans="1:7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tr">
        <f>_xlfn.XLOOKUP(Table3[[#This Row],[Location ]],Table1[Location],Table1[Oracle Location],0,0)</f>
        <v>MTY 1, MTY1</v>
      </c>
      <c r="F212" s="3" t="str">
        <f>_xlfn.XLOOKUP(Table3[[#This Row],[Location ]], Table1[Location],Table1[SVG Location],0,0)</f>
        <v>Warehouse</v>
      </c>
      <c r="G212" s="3" t="s">
        <v>1617</v>
      </c>
    </row>
    <row r="213" spans="1:7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tr">
        <f>_xlfn.XLOOKUP(Table3[[#This Row],[Location ]],Table1[Location],Table1[Oracle Location],0,0)</f>
        <v>MONBLW</v>
      </c>
      <c r="F213" s="3" t="str">
        <f>_xlfn.XLOOKUP(Table3[[#This Row],[Location ]], Table1[Location],Table1[SVG Location],0,0)</f>
        <v>Blower</v>
      </c>
      <c r="G213" s="3" t="s">
        <v>1617</v>
      </c>
    </row>
    <row r="214" spans="1:7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tr">
        <f>_xlfn.XLOOKUP(Table3[[#This Row],[Location ]],Table1[Location],Table1[Oracle Location],0,0)</f>
        <v>MONXDU</v>
      </c>
      <c r="F214" s="3" t="str">
        <f>_xlfn.XLOOKUP(Table3[[#This Row],[Location ]], Table1[Location],Table1[SVG Location],0,0)</f>
        <v>XDU_1350</v>
      </c>
      <c r="G214" s="3" t="s">
        <v>1613</v>
      </c>
    </row>
    <row r="215" spans="1:7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tr">
        <f>_xlfn.XLOOKUP(Table3[[#This Row],[Location ]],Table1[Location],Table1[Oracle Location],0,0)</f>
        <v>MONDP</v>
      </c>
      <c r="F215" s="3" t="str">
        <f>_xlfn.XLOOKUP(Table3[[#This Row],[Location ]], Table1[Location],Table1[SVG Location],0,0)</f>
        <v>DH_400</v>
      </c>
      <c r="G215" s="3" t="s">
        <v>1615</v>
      </c>
    </row>
    <row r="216" spans="1:7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tr">
        <f>_xlfn.XLOOKUP(Table3[[#This Row],[Location ]],Table1[Location],Table1[Oracle Location],0,0)</f>
        <v>MONMC</v>
      </c>
      <c r="F216" s="3" t="str">
        <f>_xlfn.XLOOKUP(Table3[[#This Row],[Location ]], Table1[Location],Table1[SVG Location],0,0)</f>
        <v>MC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tr">
        <f>_xlfn.XLOOKUP(Table3[[#This Row],[Location ]],Table1[Location],Table1[Oracle Location],0,0)</f>
        <v>MONDP</v>
      </c>
      <c r="F217" s="3" t="str">
        <f>_xlfn.XLOOKUP(Table3[[#This Row],[Location ]], Table1[Location],Table1[SVG Location],0,0)</f>
        <v>DH_400</v>
      </c>
      <c r="G217" s="3" t="s">
        <v>1614</v>
      </c>
    </row>
    <row r="218" spans="1:7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tr">
        <f>_xlfn.XLOOKUP(Table3[[#This Row],[Location ]],Table1[Location],Table1[Oracle Location],0,0)</f>
        <v>MONPRE</v>
      </c>
      <c r="F218" s="3" t="str">
        <f>_xlfn.XLOOKUP(Table3[[#This Row],[Location ]], Table1[Location],Table1[SVG Location],0,0)</f>
        <v>PRE_L1</v>
      </c>
      <c r="G218" s="3" t="s">
        <v>1615</v>
      </c>
    </row>
    <row r="219" spans="1:7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tr">
        <f>_xlfn.XLOOKUP(Table3[[#This Row],[Location ]],Table1[Location],Table1[Oracle Location],0,0)</f>
        <v>MONCOILS</v>
      </c>
      <c r="F219" s="3" t="str">
        <f>_xlfn.XLOOKUP(Table3[[#This Row],[Location ]], Table1[Location],Table1[SVG Location],0,0)</f>
        <v>Coils_Shop</v>
      </c>
      <c r="G219" s="3" t="s">
        <v>1613</v>
      </c>
    </row>
    <row r="220" spans="1:7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tr">
        <f>_xlfn.XLOOKUP(Table3[[#This Row],[Location ]],Table1[Location],Table1[Oracle Location],0,0)</f>
        <v>MONXDU</v>
      </c>
      <c r="F220" s="3" t="str">
        <f>_xlfn.XLOOKUP(Table3[[#This Row],[Location ]], Table1[Location],Table1[SVG Location],0,0)</f>
        <v>XDU_1350</v>
      </c>
      <c r="G220" s="3" t="s">
        <v>1617</v>
      </c>
    </row>
    <row r="221" spans="1:7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tr">
        <f>_xlfn.XLOOKUP(Table3[[#This Row],[Location ]],Table1[Location],Table1[Oracle Location],0,0)</f>
        <v>MONMC</v>
      </c>
      <c r="F221" s="3" t="str">
        <f>_xlfn.XLOOKUP(Table3[[#This Row],[Location ]], Table1[Location],Table1[SVG Location],0,0)</f>
        <v>MC</v>
      </c>
      <c r="G221" s="3" t="s">
        <v>1617</v>
      </c>
    </row>
    <row r="222" spans="1:7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tr">
        <f>_xlfn.XLOOKUP(Table3[[#This Row],[Location ]],Table1[Location],Table1[Oracle Location],0,0)</f>
        <v>MONDP</v>
      </c>
      <c r="F222" s="3" t="str">
        <f>_xlfn.XLOOKUP(Table3[[#This Row],[Location ]], Table1[Location],Table1[SVG Location],0,0)</f>
        <v>DH_400</v>
      </c>
      <c r="G222" s="3" t="s">
        <v>1613</v>
      </c>
    </row>
    <row r="223" spans="1:7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tr">
        <f>_xlfn.XLOOKUP(Table3[[#This Row],[Location ]],Table1[Location],Table1[Oracle Location],0,0)</f>
        <v>MONSKID</v>
      </c>
      <c r="F223" s="3" t="str">
        <f>_xlfn.XLOOKUP(Table3[[#This Row],[Location ]], Table1[Location],Table1[SVG Location],0,0)</f>
        <v>SKID</v>
      </c>
      <c r="G223" s="3" t="s">
        <v>1617</v>
      </c>
    </row>
    <row r="224" spans="1:7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tr">
        <f>_xlfn.XLOOKUP(Table3[[#This Row],[Location ]],Table1[Location],Table1[Oracle Location],0,0)</f>
        <v>MTY 1, MTY1</v>
      </c>
      <c r="F224" s="3" t="str">
        <f>_xlfn.XLOOKUP(Table3[[#This Row],[Location ]], Table1[Location],Table1[SVG Location],0,0)</f>
        <v>Warehouse</v>
      </c>
      <c r="G224" s="3" t="s">
        <v>1617</v>
      </c>
    </row>
    <row r="225" spans="1:7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tr">
        <f>_xlfn.XLOOKUP(Table3[[#This Row],[Location ]],Table1[Location],Table1[Oracle Location],0,0)</f>
        <v>MONSKID</v>
      </c>
      <c r="F225" s="3" t="str">
        <f>_xlfn.XLOOKUP(Table3[[#This Row],[Location ]], Table1[Location],Table1[SVG Location],0,0)</f>
        <v>SKID</v>
      </c>
      <c r="G225" s="3" t="s">
        <v>1617</v>
      </c>
    </row>
    <row r="226" spans="1:7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tr">
        <f>_xlfn.XLOOKUP(Table3[[#This Row],[Location ]],Table1[Location],Table1[Oracle Location],0,0)</f>
        <v>MONDP</v>
      </c>
      <c r="F226" s="3" t="str">
        <f>_xlfn.XLOOKUP(Table3[[#This Row],[Location ]], Table1[Location],Table1[SVG Location],0,0)</f>
        <v>DH_400</v>
      </c>
      <c r="G226" s="3" t="s">
        <v>1615</v>
      </c>
    </row>
    <row r="227" spans="1:7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tr">
        <f>_xlfn.XLOOKUP(Table3[[#This Row],[Location ]],Table1[Location],Table1[Oracle Location],0,0)</f>
        <v>MONBLW</v>
      </c>
      <c r="F227" s="3" t="str">
        <f>_xlfn.XLOOKUP(Table3[[#This Row],[Location ]], Table1[Location],Table1[SVG Location],0,0)</f>
        <v>Blower</v>
      </c>
      <c r="G227" s="3" t="s">
        <v>1615</v>
      </c>
    </row>
    <row r="228" spans="1:7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tr">
        <f>_xlfn.XLOOKUP(Table3[[#This Row],[Location ]],Table1[Location],Table1[Oracle Location],0,0)</f>
        <v>MTY 1, MTY1</v>
      </c>
      <c r="F228" s="3" t="str">
        <f>_xlfn.XLOOKUP(Table3[[#This Row],[Location ]], Table1[Location],Table1[SVG Location],0,0)</f>
        <v>Warehouse</v>
      </c>
      <c r="G228" s="3" t="s">
        <v>1617</v>
      </c>
    </row>
    <row r="229" spans="1:7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tr">
        <f>_xlfn.XLOOKUP(Table3[[#This Row],[Location ]],Table1[Location],Table1[Oracle Location],0,0)</f>
        <v>MONXDU100</v>
      </c>
      <c r="F229" s="3" t="str">
        <f>_xlfn.XLOOKUP(Table3[[#This Row],[Location ]], Table1[Location],Table1[SVG Location],0,0)</f>
        <v>XDU_100</v>
      </c>
      <c r="G229" s="3" t="s">
        <v>1617</v>
      </c>
    </row>
    <row r="230" spans="1:7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tr">
        <f>_xlfn.XLOOKUP(Table3[[#This Row],[Location ]],Table1[Location],Table1[Oracle Location],0,0)</f>
        <v>MONDP</v>
      </c>
      <c r="F230" s="3" t="str">
        <f>_xlfn.XLOOKUP(Table3[[#This Row],[Location ]], Table1[Location],Table1[SVG Location],0,0)</f>
        <v>DH_400</v>
      </c>
      <c r="G230" s="3" t="s">
        <v>1615</v>
      </c>
    </row>
    <row r="231" spans="1:7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tr">
        <f>_xlfn.XLOOKUP(Table3[[#This Row],[Location ]],Table1[Location],Table1[Oracle Location],0,0)</f>
        <v>MONMC</v>
      </c>
      <c r="F231" s="3" t="str">
        <f>_xlfn.XLOOKUP(Table3[[#This Row],[Location ]], Table1[Location],Table1[SVG Location],0,0)</f>
        <v>MC</v>
      </c>
      <c r="G231" s="3" t="s">
        <v>1615</v>
      </c>
    </row>
    <row r="232" spans="1:7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tr">
        <f>_xlfn.XLOOKUP(Table3[[#This Row],[Location ]],Table1[Location],Table1[Oracle Location],0,0)</f>
        <v>MONPIPING</v>
      </c>
      <c r="F232" s="3" t="str">
        <f>_xlfn.XLOOKUP(Table3[[#This Row],[Location ]], Table1[Location],Table1[SVG Location],0,0)</f>
        <v>Piping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tr">
        <f>_xlfn.XLOOKUP(Table3[[#This Row],[Location ]],Table1[Location],Table1[Oracle Location],0,0)</f>
        <v>MONKITS</v>
      </c>
      <c r="F233" s="3" t="str">
        <f>_xlfn.XLOOKUP(Table3[[#This Row],[Location ]], Table1[Location],Table1[SVG Location],0,0)</f>
        <v>Kits</v>
      </c>
      <c r="G233" s="3" t="s">
        <v>1614</v>
      </c>
    </row>
    <row r="234" spans="1:7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tr">
        <f>_xlfn.XLOOKUP(Table3[[#This Row],[Location ]],Table1[Location],Table1[Oracle Location],0,0)</f>
        <v>MONXDU</v>
      </c>
      <c r="F234" s="3" t="str">
        <f>_xlfn.XLOOKUP(Table3[[#This Row],[Location ]], Table1[Location],Table1[SVG Location],0,0)</f>
        <v>XDU_1350</v>
      </c>
      <c r="G234" s="3" t="s">
        <v>1613</v>
      </c>
    </row>
    <row r="235" spans="1:7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tr">
        <f>_xlfn.XLOOKUP(Table3[[#This Row],[Location ]],Table1[Location],Table1[Oracle Location],0,0)</f>
        <v>MTY 1, MTY1</v>
      </c>
      <c r="F235" s="3" t="str">
        <f>_xlfn.XLOOKUP(Table3[[#This Row],[Location ]], Table1[Location],Table1[SVG Location],0,0)</f>
        <v>Warehouse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tr">
        <f>_xlfn.XLOOKUP(Table3[[#This Row],[Location ]],Table1[Location],Table1[Oracle Location],0,0)</f>
        <v>MONDA</v>
      </c>
      <c r="F236" s="3" t="str">
        <f>_xlfn.XLOOKUP(Table3[[#This Row],[Location ]], Table1[Location],Table1[SVG Location],0,0)</f>
        <v>MONDA</v>
      </c>
      <c r="G236" s="3" t="s">
        <v>1614</v>
      </c>
    </row>
    <row r="237" spans="1:7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tr">
        <f>_xlfn.XLOOKUP(Table3[[#This Row],[Location ]],Table1[Location],Table1[Oracle Location],0,0)</f>
        <v>MONEP</v>
      </c>
      <c r="F237" s="3" t="str">
        <f>_xlfn.XLOOKUP(Table3[[#This Row],[Location ]], Table1[Location],Table1[SVG Location],0,0)</f>
        <v>EP</v>
      </c>
      <c r="G237" s="3" t="s">
        <v>1615</v>
      </c>
    </row>
    <row r="238" spans="1:7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tr">
        <f>_xlfn.XLOOKUP(Table3[[#This Row],[Location ]],Table1[Location],Table1[Oracle Location],0,0)</f>
        <v>MONXDM</v>
      </c>
      <c r="F238" s="3" t="str">
        <f>_xlfn.XLOOKUP(Table3[[#This Row],[Location ]], Table1[Location],Table1[SVG Location],0,0)</f>
        <v>XDM</v>
      </c>
      <c r="G238" s="3" t="s">
        <v>1613</v>
      </c>
    </row>
    <row r="239" spans="1:7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tr">
        <f>_xlfn.XLOOKUP(Table3[[#This Row],[Location ]],Table1[Location],Table1[Oracle Location],0,0)</f>
        <v>MONDP</v>
      </c>
      <c r="F239" s="3" t="str">
        <f>_xlfn.XLOOKUP(Table3[[#This Row],[Location ]], Table1[Location],Table1[SVG Location],0,0)</f>
        <v>DH_400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tr">
        <f>_xlfn.XLOOKUP(Table3[[#This Row],[Location ]],Table1[Location],Table1[Oracle Location],0,0)</f>
        <v>ALL</v>
      </c>
      <c r="F240" s="3" t="str">
        <f>_xlfn.XLOOKUP(Table3[[#This Row],[Location ]], Table1[Location],Table1[SVG Location],0,0)</f>
        <v>ALL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tr">
        <f>_xlfn.XLOOKUP(Table3[[#This Row],[Location ]],Table1[Location],Table1[Oracle Location],0,0)</f>
        <v>MONPRE</v>
      </c>
      <c r="F241" s="3" t="str">
        <f>_xlfn.XLOOKUP(Table3[[#This Row],[Location ]], Table1[Location],Table1[SVG Location],0,0)</f>
        <v>PRE_L1</v>
      </c>
      <c r="G241" s="3" t="s">
        <v>1614</v>
      </c>
    </row>
    <row r="242" spans="1:7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tr">
        <f>_xlfn.XLOOKUP(Table3[[#This Row],[Location ]],Table1[Location],Table1[Oracle Location],0,0)</f>
        <v>MONXDU100</v>
      </c>
      <c r="F242" s="3" t="str">
        <f>_xlfn.XLOOKUP(Table3[[#This Row],[Location ]], Table1[Location],Table1[SVG Location],0,0)</f>
        <v>XDU_100</v>
      </c>
      <c r="G242" s="3" t="s">
        <v>1615</v>
      </c>
    </row>
    <row r="243" spans="1:7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tr">
        <f>_xlfn.XLOOKUP(Table3[[#This Row],[Location ]],Table1[Location],Table1[Oracle Location],0,0)</f>
        <v>MONEP</v>
      </c>
      <c r="F243" s="3" t="str">
        <f>_xlfn.XLOOKUP(Table3[[#This Row],[Location ]], Table1[Location],Table1[SVG Location],0,0)</f>
        <v>EP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tr">
        <f>_xlfn.XLOOKUP(Table3[[#This Row],[Location ]],Table1[Location],Table1[Oracle Location],0,0)</f>
        <v>MONDP</v>
      </c>
      <c r="F244" s="3" t="str">
        <f>_xlfn.XLOOKUP(Table3[[#This Row],[Location ]], Table1[Location],Table1[SVG Location],0,0)</f>
        <v>DH_400</v>
      </c>
      <c r="G244" s="3" t="s">
        <v>1614</v>
      </c>
    </row>
    <row r="245" spans="1:7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tr">
        <f>_xlfn.XLOOKUP(Table3[[#This Row],[Location ]],Table1[Location],Table1[Oracle Location],0,0)</f>
        <v>MONCR</v>
      </c>
      <c r="F245" s="3" t="str">
        <f>_xlfn.XLOOKUP(Table3[[#This Row],[Location ]], Table1[Location],Table1[SVG Location],0,0)</f>
        <v>CR</v>
      </c>
      <c r="G245" s="3" t="s">
        <v>1617</v>
      </c>
    </row>
    <row r="246" spans="1:7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tr">
        <f>_xlfn.XLOOKUP(Table3[[#This Row],[Location ]],Table1[Location],Table1[Oracle Location],0,0)</f>
        <v>MONXDU</v>
      </c>
      <c r="F246" s="3" t="str">
        <f>_xlfn.XLOOKUP(Table3[[#This Row],[Location ]], Table1[Location],Table1[SVG Location],0,0)</f>
        <v>XDU_1350</v>
      </c>
      <c r="G246" s="3" t="s">
        <v>1613</v>
      </c>
    </row>
    <row r="247" spans="1:7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tr">
        <f>_xlfn.XLOOKUP(Table3[[#This Row],[Location ]],Table1[Location],Table1[Oracle Location],0,0)</f>
        <v>MONBLW</v>
      </c>
      <c r="F247" s="3" t="str">
        <f>_xlfn.XLOOKUP(Table3[[#This Row],[Location ]], Table1[Location],Table1[SVG Location],0,0)</f>
        <v>Blower</v>
      </c>
      <c r="G247" s="3" t="s">
        <v>1615</v>
      </c>
    </row>
    <row r="248" spans="1:7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tr">
        <f>_xlfn.XLOOKUP(Table3[[#This Row],[Location ]],Table1[Location],Table1[Oracle Location],0,0)</f>
        <v>MONXDU</v>
      </c>
      <c r="F248" s="3" t="str">
        <f>_xlfn.XLOOKUP(Table3[[#This Row],[Location ]], Table1[Location],Table1[SVG Location],0,0)</f>
        <v>XDU_1350</v>
      </c>
      <c r="G248" s="3" t="s">
        <v>1617</v>
      </c>
    </row>
    <row r="249" spans="1:7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tr">
        <f>_xlfn.XLOOKUP(Table3[[#This Row],[Location ]],Table1[Location],Table1[Oracle Location],0,0)</f>
        <v>MONPIPING</v>
      </c>
      <c r="F249" s="3" t="str">
        <f>_xlfn.XLOOKUP(Table3[[#This Row],[Location ]], Table1[Location],Table1[SVG Location],0,0)</f>
        <v>Piping</v>
      </c>
      <c r="G249" s="3" t="s">
        <v>1617</v>
      </c>
    </row>
    <row r="250" spans="1:7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tr">
        <f>_xlfn.XLOOKUP(Table3[[#This Row],[Location ]],Table1[Location],Table1[Oracle Location],0,0)</f>
        <v>MTY 1, MTY1</v>
      </c>
      <c r="F250" s="3" t="str">
        <f>_xlfn.XLOOKUP(Table3[[#This Row],[Location ]], Table1[Location],Table1[SVG Location],0,0)</f>
        <v>Warehouse</v>
      </c>
      <c r="G250" s="3" t="s">
        <v>1617</v>
      </c>
    </row>
    <row r="251" spans="1:7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tr">
        <f>_xlfn.XLOOKUP(Table3[[#This Row],[Location ]],Table1[Location],Table1[Oracle Location],0,0)</f>
        <v>MONDP</v>
      </c>
      <c r="F251" s="3" t="str">
        <f>_xlfn.XLOOKUP(Table3[[#This Row],[Location ]], Table1[Location],Table1[SVG Location],0,0)</f>
        <v>DH_400</v>
      </c>
      <c r="G251" s="3" t="s">
        <v>1617</v>
      </c>
    </row>
    <row r="252" spans="1:7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tr">
        <f>_xlfn.XLOOKUP(Table3[[#This Row],[Location ]],Table1[Location],Table1[Oracle Location],0,0)</f>
        <v>MONDP</v>
      </c>
      <c r="F252" s="3" t="str">
        <f>_xlfn.XLOOKUP(Table3[[#This Row],[Location ]], Table1[Location],Table1[SVG Location],0,0)</f>
        <v>DH_400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tr">
        <f>_xlfn.XLOOKUP(Table3[[#This Row],[Location ]],Table1[Location],Table1[Oracle Location],0,0)</f>
        <v>MTY 1, MTY1</v>
      </c>
      <c r="F253" s="3" t="str">
        <f>_xlfn.XLOOKUP(Table3[[#This Row],[Location ]], Table1[Location],Table1[SVG Location],0,0)</f>
        <v>Warehouse</v>
      </c>
      <c r="G253" s="3" t="s">
        <v>1614</v>
      </c>
    </row>
    <row r="254" spans="1:7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tr">
        <f>_xlfn.XLOOKUP(Table3[[#This Row],[Location ]],Table1[Location],Table1[Oracle Location],0,0)</f>
        <v>MTY 1, MTY1</v>
      </c>
      <c r="F254" s="3" t="str">
        <f>_xlfn.XLOOKUP(Table3[[#This Row],[Location ]], Table1[Location],Table1[SVG Location],0,0)</f>
        <v>Warehouse</v>
      </c>
      <c r="G254" s="3" t="s">
        <v>1617</v>
      </c>
    </row>
    <row r="255" spans="1:7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tr">
        <f>_xlfn.XLOOKUP(Table3[[#This Row],[Location ]],Table1[Location],Table1[Oracle Location],0,0)</f>
        <v>MONMC</v>
      </c>
      <c r="F255" s="3" t="str">
        <f>_xlfn.XLOOKUP(Table3[[#This Row],[Location ]], Table1[Location],Table1[SVG Location],0,0)</f>
        <v>MC</v>
      </c>
      <c r="G255" s="3" t="s">
        <v>1615</v>
      </c>
    </row>
    <row r="256" spans="1:7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tr">
        <f>_xlfn.XLOOKUP(Table3[[#This Row],[Location ]],Table1[Location],Table1[Oracle Location],0,0)</f>
        <v>MONXDU</v>
      </c>
      <c r="F256" s="3" t="str">
        <f>_xlfn.XLOOKUP(Table3[[#This Row],[Location ]], Table1[Location],Table1[SVG Location],0,0)</f>
        <v>XDU_1350</v>
      </c>
      <c r="G256" s="3" t="s">
        <v>1617</v>
      </c>
    </row>
    <row r="257" spans="1:7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tr">
        <f>_xlfn.XLOOKUP(Table3[[#This Row],[Location ]],Table1[Location],Table1[Oracle Location],0,0)</f>
        <v>MONCOILS</v>
      </c>
      <c r="F257" s="3" t="str">
        <f>_xlfn.XLOOKUP(Table3[[#This Row],[Location ]], Table1[Location],Table1[SVG Location],0,0)</f>
        <v>Coils_Shop</v>
      </c>
      <c r="G257" s="3" t="s">
        <v>1613</v>
      </c>
    </row>
    <row r="258" spans="1:7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tr">
        <f>_xlfn.XLOOKUP(Table3[[#This Row],[Location ]],Table1[Location],Table1[Oracle Location],0,0)</f>
        <v>MONCOILS</v>
      </c>
      <c r="F258" s="3" t="str">
        <f>_xlfn.XLOOKUP(Table3[[#This Row],[Location ]], Table1[Location],Table1[SVG Location],0,0)</f>
        <v>Coils_Shop</v>
      </c>
      <c r="G258" s="3" t="s">
        <v>1617</v>
      </c>
    </row>
    <row r="259" spans="1:7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tr">
        <f>_xlfn.XLOOKUP(Table3[[#This Row],[Location ]],Table1[Location],Table1[Oracle Location],0,0)</f>
        <v>MONEP</v>
      </c>
      <c r="F259" s="3" t="str">
        <f>_xlfn.XLOOKUP(Table3[[#This Row],[Location ]], Table1[Location],Table1[SVG Location],0,0)</f>
        <v>EP</v>
      </c>
      <c r="G259" s="3" t="s">
        <v>1615</v>
      </c>
    </row>
    <row r="260" spans="1:7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tr">
        <f>_xlfn.XLOOKUP(Table3[[#This Row],[Location ]],Table1[Location],Table1[Oracle Location],0,0)</f>
        <v>MTY 1, MTY1</v>
      </c>
      <c r="F260" s="3" t="str">
        <f>_xlfn.XLOOKUP(Table3[[#This Row],[Location ]], Table1[Location],Table1[SVG Location],0,0)</f>
        <v>Warehouse</v>
      </c>
      <c r="G260" s="3" t="s">
        <v>1617</v>
      </c>
    </row>
    <row r="261" spans="1:7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tr">
        <f>_xlfn.XLOOKUP(Table3[[#This Row],[Location ]],Table1[Location],Table1[Oracle Location],0,0)</f>
        <v>MONBLW</v>
      </c>
      <c r="F261" s="3" t="str">
        <f>_xlfn.XLOOKUP(Table3[[#This Row],[Location ]], Table1[Location],Table1[SVG Location],0,0)</f>
        <v>Blower</v>
      </c>
      <c r="G261" s="3" t="s">
        <v>1615</v>
      </c>
    </row>
    <row r="262" spans="1:7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tr">
        <f>_xlfn.XLOOKUP(Table3[[#This Row],[Location ]],Table1[Location],Table1[Oracle Location],0,0)</f>
        <v>MONXDU100</v>
      </c>
      <c r="F262" s="3" t="str">
        <f>_xlfn.XLOOKUP(Table3[[#This Row],[Location ]], Table1[Location],Table1[SVG Location],0,0)</f>
        <v>XDU_100</v>
      </c>
      <c r="G262" s="3" t="s">
        <v>1617</v>
      </c>
    </row>
    <row r="263" spans="1:7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tr">
        <f>_xlfn.XLOOKUP(Table3[[#This Row],[Location ]],Table1[Location],Table1[Oracle Location],0,0)</f>
        <v>MONDP</v>
      </c>
      <c r="F263" s="3" t="str">
        <f>_xlfn.XLOOKUP(Table3[[#This Row],[Location ]], Table1[Location],Table1[SVG Location],0,0)</f>
        <v>DH_400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tr">
        <f>_xlfn.XLOOKUP(Table3[[#This Row],[Location ]],Table1[Location],Table1[Oracle Location],0,0)</f>
        <v>MONMC</v>
      </c>
      <c r="F264" s="3" t="str">
        <f>_xlfn.XLOOKUP(Table3[[#This Row],[Location ]], Table1[Location],Table1[SVG Location],0,0)</f>
        <v>MC</v>
      </c>
      <c r="G264" s="3" t="s">
        <v>1614</v>
      </c>
    </row>
    <row r="265" spans="1:7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tr">
        <f>_xlfn.XLOOKUP(Table3[[#This Row],[Location ]],Table1[Location],Table1[Oracle Location],0,0)</f>
        <v>MONXDU100</v>
      </c>
      <c r="F265" s="3" t="str">
        <f>_xlfn.XLOOKUP(Table3[[#This Row],[Location ]], Table1[Location],Table1[SVG Location],0,0)</f>
        <v>XDU_100</v>
      </c>
      <c r="G265" s="3" t="s">
        <v>1617</v>
      </c>
    </row>
    <row r="266" spans="1:7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tr">
        <f>_xlfn.XLOOKUP(Table3[[#This Row],[Location ]],Table1[Location],Table1[Oracle Location],0,0)</f>
        <v>MONXDU</v>
      </c>
      <c r="F266" s="3" t="str">
        <f>_xlfn.XLOOKUP(Table3[[#This Row],[Location ]], Table1[Location],Table1[SVG Location],0,0)</f>
        <v>XDU_1350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tr">
        <f>_xlfn.XLOOKUP(Table3[[#This Row],[Location ]],Table1[Location],Table1[Oracle Location],0,0)</f>
        <v>MONCOILS</v>
      </c>
      <c r="F267" s="3" t="str">
        <f>_xlfn.XLOOKUP(Table3[[#This Row],[Location ]], Table1[Location],Table1[SVG Location],0,0)</f>
        <v>Coils_Shop</v>
      </c>
      <c r="G267" s="3" t="s">
        <v>1614</v>
      </c>
    </row>
    <row r="268" spans="1:7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tr">
        <f>_xlfn.XLOOKUP(Table3[[#This Row],[Location ]],Table1[Location],Table1[Oracle Location],0,0)</f>
        <v>MONPRE</v>
      </c>
      <c r="F268" s="3" t="str">
        <f>_xlfn.XLOOKUP(Table3[[#This Row],[Location ]], Table1[Location],Table1[SVG Location],0,0)</f>
        <v>PRE_L1</v>
      </c>
      <c r="G268" s="3" t="s">
        <v>1617</v>
      </c>
    </row>
    <row r="269" spans="1:7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tr">
        <f>_xlfn.XLOOKUP(Table3[[#This Row],[Location ]],Table1[Location],Table1[Oracle Location],0,0)</f>
        <v>MTY 1, MTY1</v>
      </c>
      <c r="F269" s="3" t="str">
        <f>_xlfn.XLOOKUP(Table3[[#This Row],[Location ]], Table1[Location],Table1[SVG Location],0,0)</f>
        <v>Warehouse</v>
      </c>
      <c r="G269" s="3" t="s">
        <v>1617</v>
      </c>
    </row>
    <row r="270" spans="1:7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tr">
        <f>_xlfn.XLOOKUP(Table3[[#This Row],[Location ]],Table1[Location],Table1[Oracle Location],0,0)</f>
        <v>MONEP</v>
      </c>
      <c r="F270" s="3" t="str">
        <f>_xlfn.XLOOKUP(Table3[[#This Row],[Location ]], Table1[Location],Table1[SVG Location],0,0)</f>
        <v>EP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tr">
        <f>_xlfn.XLOOKUP(Table3[[#This Row],[Location ]],Table1[Location],Table1[Oracle Location],0,0)</f>
        <v>MTY 1, MTY1</v>
      </c>
      <c r="F271" s="3" t="str">
        <f>_xlfn.XLOOKUP(Table3[[#This Row],[Location ]], Table1[Location],Table1[SVG Location],0,0)</f>
        <v>Warehouse</v>
      </c>
      <c r="G271" s="3" t="s">
        <v>1614</v>
      </c>
    </row>
    <row r="272" spans="1:7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tr">
        <f>_xlfn.XLOOKUP(Table3[[#This Row],[Location ]],Table1[Location],Table1[Oracle Location],0,0)</f>
        <v>MONEP</v>
      </c>
      <c r="F272" s="3" t="str">
        <f>_xlfn.XLOOKUP(Table3[[#This Row],[Location ]], Table1[Location],Table1[SVG Location],0,0)</f>
        <v>EP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tr">
        <f>_xlfn.XLOOKUP(Table3[[#This Row],[Location ]],Table1[Location],Table1[Oracle Location],0,0)</f>
        <v>MONDP</v>
      </c>
      <c r="F273" s="3" t="str">
        <f>_xlfn.XLOOKUP(Table3[[#This Row],[Location ]], Table1[Location],Table1[SVG Location],0,0)</f>
        <v>DH_400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tr">
        <f>_xlfn.XLOOKUP(Table3[[#This Row],[Location ]],Table1[Location],Table1[Oracle Location],0,0)</f>
        <v>MONMC</v>
      </c>
      <c r="F274" s="3" t="str">
        <f>_xlfn.XLOOKUP(Table3[[#This Row],[Location ]], Table1[Location],Table1[SVG Location],0,0)</f>
        <v>MC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tr">
        <f>_xlfn.XLOOKUP(Table3[[#This Row],[Location ]],Table1[Location],Table1[Oracle Location],0,0)</f>
        <v>ALL</v>
      </c>
      <c r="F275" s="3" t="str">
        <f>_xlfn.XLOOKUP(Table3[[#This Row],[Location ]], Table1[Location],Table1[SVG Location],0,0)</f>
        <v>ALL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tr">
        <f>_xlfn.XLOOKUP(Table3[[#This Row],[Location ]],Table1[Location],Table1[Oracle Location],0,0)</f>
        <v>MONEP</v>
      </c>
      <c r="F276" s="3" t="str">
        <f>_xlfn.XLOOKUP(Table3[[#This Row],[Location ]], Table1[Location],Table1[SVG Location],0,0)</f>
        <v>EP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tr">
        <f>_xlfn.XLOOKUP(Table3[[#This Row],[Location ]],Table1[Location],Table1[Oracle Location],0,0)</f>
        <v>MONEP</v>
      </c>
      <c r="F277" s="3" t="str">
        <f>_xlfn.XLOOKUP(Table3[[#This Row],[Location ]], Table1[Location],Table1[SVG Location],0,0)</f>
        <v>EP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tr">
        <f>_xlfn.XLOOKUP(Table3[[#This Row],[Location ]],Table1[Location],Table1[Oracle Location],0,0)</f>
        <v>ALL</v>
      </c>
      <c r="F278" s="3" t="str">
        <f>_xlfn.XLOOKUP(Table3[[#This Row],[Location ]], Table1[Location],Table1[SVG Location],0,0)</f>
        <v>ALL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tr">
        <f>_xlfn.XLOOKUP(Table3[[#This Row],[Location ]],Table1[Location],Table1[Oracle Location],0,0)</f>
        <v>MONEP</v>
      </c>
      <c r="F279" s="3" t="str">
        <f>_xlfn.XLOOKUP(Table3[[#This Row],[Location ]], Table1[Location],Table1[SVG Location],0,0)</f>
        <v>EP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tr">
        <f>_xlfn.XLOOKUP(Table3[[#This Row],[Location ]],Table1[Location],Table1[Oracle Location],0,0)</f>
        <v>MONDP</v>
      </c>
      <c r="F280" s="3" t="str">
        <f>_xlfn.XLOOKUP(Table3[[#This Row],[Location ]], Table1[Location],Table1[SVG Location],0,0)</f>
        <v>DH_400</v>
      </c>
      <c r="G280" s="3" t="s">
        <v>1616</v>
      </c>
    </row>
    <row r="281" spans="1:7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tr">
        <f>_xlfn.XLOOKUP(Table3[[#This Row],[Location ]],Table1[Location],Table1[Oracle Location],0,0)</f>
        <v>MONDP</v>
      </c>
      <c r="F281" s="3" t="str">
        <f>_xlfn.XLOOKUP(Table3[[#This Row],[Location ]], Table1[Location],Table1[SVG Location],0,0)</f>
        <v>DH_400</v>
      </c>
      <c r="G281" s="3" t="s">
        <v>1613</v>
      </c>
    </row>
    <row r="282" spans="1:7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tr">
        <f>_xlfn.XLOOKUP(Table3[[#This Row],[Location ]],Table1[Location],Table1[Oracle Location],0,0)</f>
        <v>MONDP</v>
      </c>
      <c r="F282" s="3" t="str">
        <f>_xlfn.XLOOKUP(Table3[[#This Row],[Location ]], Table1[Location],Table1[SVG Location],0,0)</f>
        <v>DH_400</v>
      </c>
      <c r="G282" s="3" t="s">
        <v>1615</v>
      </c>
    </row>
    <row r="283" spans="1:7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tr">
        <f>_xlfn.XLOOKUP(Table3[[#This Row],[Location ]],Table1[Location],Table1[Oracle Location],0,0)</f>
        <v>MONEP</v>
      </c>
      <c r="F283" s="3" t="str">
        <f>_xlfn.XLOOKUP(Table3[[#This Row],[Location ]], Table1[Location],Table1[SVG Location],0,0)</f>
        <v>EP</v>
      </c>
      <c r="G283" s="3" t="s">
        <v>1613</v>
      </c>
    </row>
    <row r="284" spans="1:7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tr">
        <f>_xlfn.XLOOKUP(Table3[[#This Row],[Location ]],Table1[Location],Table1[Oracle Location],0,0)</f>
        <v>MONDP</v>
      </c>
      <c r="F284" s="3" t="str">
        <f>_xlfn.XLOOKUP(Table3[[#This Row],[Location ]], Table1[Location],Table1[SVG Location],0,0)</f>
        <v>DH_400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tr">
        <f>_xlfn.XLOOKUP(Table3[[#This Row],[Location ]],Table1[Location],Table1[Oracle Location],0,0)</f>
        <v>MON-AFC</v>
      </c>
      <c r="F285" s="3" t="str">
        <f>_xlfn.XLOOKUP(Table3[[#This Row],[Location ]], Table1[Location],Table1[SVG Location],0,0)</f>
        <v>AFC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tr">
        <f>_xlfn.XLOOKUP(Table3[[#This Row],[Location ]],Table1[Location],Table1[Oracle Location],0,0)</f>
        <v>MTY3</v>
      </c>
      <c r="F286" s="3" t="str">
        <f>_xlfn.XLOOKUP(Table3[[#This Row],[Location ]], Table1[Location],Table1[SVG Location],0,0)</f>
        <v>MTY3</v>
      </c>
      <c r="G286" s="3">
        <v>0</v>
      </c>
    </row>
    <row r="287" spans="1:7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tr">
        <f>_xlfn.XLOOKUP(Table3[[#This Row],[Location ]],Table1[Location],Table1[Oracle Location],0,0)</f>
        <v>MONDA</v>
      </c>
      <c r="F287" s="3" t="str">
        <f>_xlfn.XLOOKUP(Table3[[#This Row],[Location ]], Table1[Location],Table1[SVG Location],0,0)</f>
        <v>MONDA</v>
      </c>
      <c r="G287" s="3" t="s">
        <v>1615</v>
      </c>
    </row>
    <row r="288" spans="1:7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tr">
        <f>_xlfn.XLOOKUP(Table3[[#This Row],[Location ]],Table1[Location],Table1[Oracle Location],0,0)</f>
        <v>MONDP</v>
      </c>
      <c r="F288" s="3" t="str">
        <f>_xlfn.XLOOKUP(Table3[[#This Row],[Location ]], Table1[Location],Table1[SVG Location],0,0)</f>
        <v>DH_400</v>
      </c>
      <c r="G288" s="3" t="s">
        <v>1615</v>
      </c>
    </row>
    <row r="289" spans="1:7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tr">
        <f>_xlfn.XLOOKUP(Table3[[#This Row],[Location ]],Table1[Location],Table1[Oracle Location],0,0)</f>
        <v>MONEP</v>
      </c>
      <c r="F289" s="3" t="str">
        <f>_xlfn.XLOOKUP(Table3[[#This Row],[Location ]], Table1[Location],Table1[SVG Location],0,0)</f>
        <v>EP</v>
      </c>
      <c r="G289" s="3" t="s">
        <v>1617</v>
      </c>
    </row>
    <row r="290" spans="1:7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tr">
        <f>_xlfn.XLOOKUP(Table3[[#This Row],[Location ]],Table1[Location],Table1[Oracle Location],0,0)</f>
        <v>MONXDU</v>
      </c>
      <c r="F290" s="3" t="str">
        <f>_xlfn.XLOOKUP(Table3[[#This Row],[Location ]], Table1[Location],Table1[SVG Location],0,0)</f>
        <v>XDU_1350</v>
      </c>
      <c r="G290" s="3" t="s">
        <v>1617</v>
      </c>
    </row>
    <row r="291" spans="1:7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tr">
        <f>_xlfn.XLOOKUP(Table3[[#This Row],[Location ]],Table1[Location],Table1[Oracle Location],0,0)</f>
        <v>MONBLW</v>
      </c>
      <c r="F291" s="3" t="str">
        <f>_xlfn.XLOOKUP(Table3[[#This Row],[Location ]], Table1[Location],Table1[SVG Location],0,0)</f>
        <v>Blower</v>
      </c>
      <c r="G291" s="3" t="s">
        <v>1617</v>
      </c>
    </row>
    <row r="292" spans="1:7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tr">
        <f>_xlfn.XLOOKUP(Table3[[#This Row],[Location ]],Table1[Location],Table1[Oracle Location],0,0)</f>
        <v>MONXDU</v>
      </c>
      <c r="F292" s="3" t="str">
        <f>_xlfn.XLOOKUP(Table3[[#This Row],[Location ]], Table1[Location],Table1[SVG Location],0,0)</f>
        <v>XDU_1350</v>
      </c>
      <c r="G292" s="3" t="s">
        <v>1617</v>
      </c>
    </row>
    <row r="293" spans="1:7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tr">
        <f>_xlfn.XLOOKUP(Table3[[#This Row],[Location ]],Table1[Location],Table1[Oracle Location],0,0)</f>
        <v>MONDP</v>
      </c>
      <c r="F293" s="3" t="str">
        <f>_xlfn.XLOOKUP(Table3[[#This Row],[Location ]], Table1[Location],Table1[SVG Location],0,0)</f>
        <v>DH_400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tr">
        <f>_xlfn.XLOOKUP(Table3[[#This Row],[Location ]],Table1[Location],Table1[Oracle Location],0,0)</f>
        <v>MTY3</v>
      </c>
      <c r="F294" s="3" t="str">
        <f>_xlfn.XLOOKUP(Table3[[#This Row],[Location ]], Table1[Location],Table1[SVG Location],0,0)</f>
        <v>MTY3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tr">
        <f>_xlfn.XLOOKUP(Table3[[#This Row],[Location ]],Table1[Location],Table1[Oracle Location],0,0)</f>
        <v>SHIP</v>
      </c>
      <c r="F295" s="3" t="str">
        <f>_xlfn.XLOOKUP(Table3[[#This Row],[Location ]], Table1[Location],Table1[SVG Location],0,0)</f>
        <v>SHIP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tr">
        <f>_xlfn.XLOOKUP(Table3[[#This Row],[Location ]],Table1[Location],Table1[Oracle Location],0,0)</f>
        <v>ALL</v>
      </c>
      <c r="F296" s="3" t="str">
        <f>_xlfn.XLOOKUP(Table3[[#This Row],[Location ]], Table1[Location],Table1[SVG Location],0,0)</f>
        <v>ALL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tr">
        <f>_xlfn.XLOOKUP(Table3[[#This Row],[Location ]],Table1[Location],Table1[Oracle Location],0,0)</f>
        <v>ALL</v>
      </c>
      <c r="F297" s="3" t="str">
        <f>_xlfn.XLOOKUP(Table3[[#This Row],[Location ]], Table1[Location],Table1[SVG Location],0,0)</f>
        <v>ALL</v>
      </c>
      <c r="G297" s="3">
        <v>0</v>
      </c>
    </row>
    <row r="298" spans="1:7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tr">
        <f>_xlfn.XLOOKUP(Table3[[#This Row],[Location ]],Table1[Location],Table1[Oracle Location],0,0)</f>
        <v>MTY 1, MTY1</v>
      </c>
      <c r="F298" s="3" t="str">
        <f>_xlfn.XLOOKUP(Table3[[#This Row],[Location ]], Table1[Location],Table1[SVG Location],0,0)</f>
        <v>Warehouse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tr">
        <f>_xlfn.XLOOKUP(Table3[[#This Row],[Location ]],Table1[Location],Table1[Oracle Location],0,0)</f>
        <v>MONDP</v>
      </c>
      <c r="F299" s="3" t="str">
        <f>_xlfn.XLOOKUP(Table3[[#This Row],[Location ]], Table1[Location],Table1[SVG Location],0,0)</f>
        <v>DH_400</v>
      </c>
      <c r="G299" s="3" t="s">
        <v>1614</v>
      </c>
    </row>
    <row r="300" spans="1:7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tr">
        <f>_xlfn.XLOOKUP(Table3[[#This Row],[Location ]],Table1[Location],Table1[Oracle Location],0,0)</f>
        <v>MONXDM</v>
      </c>
      <c r="F300" s="3" t="str">
        <f>_xlfn.XLOOKUP(Table3[[#This Row],[Location ]], Table1[Location],Table1[SVG Location],0,0)</f>
        <v>XDM</v>
      </c>
      <c r="G300" s="3" t="s">
        <v>1617</v>
      </c>
    </row>
    <row r="301" spans="1:7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tr">
        <f>_xlfn.XLOOKUP(Table3[[#This Row],[Location ]],Table1[Location],Table1[Oracle Location],0,0)</f>
        <v>MONXDM</v>
      </c>
      <c r="F301" s="3" t="str">
        <f>_xlfn.XLOOKUP(Table3[[#This Row],[Location ]], Table1[Location],Table1[SVG Location],0,0)</f>
        <v>XDM</v>
      </c>
      <c r="G301" s="3" t="s">
        <v>1617</v>
      </c>
    </row>
    <row r="302" spans="1:7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tr">
        <f>_xlfn.XLOOKUP(Table3[[#This Row],[Location ]],Table1[Location],Table1[Oracle Location],0,0)</f>
        <v>MTY 1, MTY1</v>
      </c>
      <c r="F302" s="3" t="str">
        <f>_xlfn.XLOOKUP(Table3[[#This Row],[Location ]], Table1[Location],Table1[SVG Location],0,0)</f>
        <v>Warehouse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tr">
        <f>_xlfn.XLOOKUP(Table3[[#This Row],[Location ]],Table1[Location],Table1[Oracle Location],0,0)</f>
        <v>MONKITS</v>
      </c>
      <c r="F303" s="3" t="str">
        <f>_xlfn.XLOOKUP(Table3[[#This Row],[Location ]], Table1[Location],Table1[SVG Location],0,0)</f>
        <v>Kits</v>
      </c>
      <c r="G303" s="3" t="s">
        <v>1614</v>
      </c>
    </row>
    <row r="304" spans="1:7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tr">
        <f>_xlfn.XLOOKUP(Table3[[#This Row],[Location ]],Table1[Location],Table1[Oracle Location],0,0)</f>
        <v>MTY 1, MTY1</v>
      </c>
      <c r="F304" s="3" t="str">
        <f>_xlfn.XLOOKUP(Table3[[#This Row],[Location ]], Table1[Location],Table1[SVG Location],0,0)</f>
        <v>Warehouse</v>
      </c>
      <c r="G304" s="3" t="s">
        <v>1617</v>
      </c>
    </row>
    <row r="305" spans="1:7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tr">
        <f>_xlfn.XLOOKUP(Table3[[#This Row],[Location ]],Table1[Location],Table1[Oracle Location],0,0)</f>
        <v>MTY 1, MTY1</v>
      </c>
      <c r="F305" s="3" t="str">
        <f>_xlfn.XLOOKUP(Table3[[#This Row],[Location ]], Table1[Location],Table1[SVG Location],0,0)</f>
        <v>Warehouse</v>
      </c>
      <c r="G305" s="3" t="s">
        <v>1617</v>
      </c>
    </row>
    <row r="306" spans="1:7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tr">
        <f>_xlfn.XLOOKUP(Table3[[#This Row],[Location ]],Table1[Location],Table1[Oracle Location],0,0)</f>
        <v>MONDA</v>
      </c>
      <c r="F306" s="3" t="str">
        <f>_xlfn.XLOOKUP(Table3[[#This Row],[Location ]], Table1[Location],Table1[SVG Location],0,0)</f>
        <v>MONDA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tr">
        <f>_xlfn.XLOOKUP(Table3[[#This Row],[Location ]],Table1[Location],Table1[Oracle Location],0,0)</f>
        <v>ALL</v>
      </c>
      <c r="F307" s="3" t="str">
        <f>_xlfn.XLOOKUP(Table3[[#This Row],[Location ]], Table1[Location],Table1[SVG Location],0,0)</f>
        <v>ALL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tr">
        <f>_xlfn.XLOOKUP(Table3[[#This Row],[Location ]],Table1[Location],Table1[Oracle Location],0,0)</f>
        <v>MTY3</v>
      </c>
      <c r="F308" s="3" t="str">
        <f>_xlfn.XLOOKUP(Table3[[#This Row],[Location ]], Table1[Location],Table1[SVG Location],0,0)</f>
        <v>MTY3</v>
      </c>
      <c r="G308" s="3">
        <v>0</v>
      </c>
    </row>
    <row r="309" spans="1:7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tr">
        <f>_xlfn.XLOOKUP(Table3[[#This Row],[Location ]],Table1[Location],Table1[Oracle Location],0,0)</f>
        <v>MONXDU100</v>
      </c>
      <c r="F309" s="3" t="str">
        <f>_xlfn.XLOOKUP(Table3[[#This Row],[Location ]], Table1[Location],Table1[SVG Location],0,0)</f>
        <v>XDU_100</v>
      </c>
      <c r="G309" s="3" t="s">
        <v>1617</v>
      </c>
    </row>
    <row r="310" spans="1:7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tr">
        <f>_xlfn.XLOOKUP(Table3[[#This Row],[Location ]],Table1[Location],Table1[Oracle Location],0,0)</f>
        <v>MONXDU100</v>
      </c>
      <c r="F310" s="3" t="str">
        <f>_xlfn.XLOOKUP(Table3[[#This Row],[Location ]], Table1[Location],Table1[SVG Location],0,0)</f>
        <v>XDU_100</v>
      </c>
      <c r="G310" s="3" t="s">
        <v>1617</v>
      </c>
    </row>
    <row r="311" spans="1:7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tr">
        <f>_xlfn.XLOOKUP(Table3[[#This Row],[Location ]],Table1[Location],Table1[Oracle Location],0,0)</f>
        <v>MONXDU100</v>
      </c>
      <c r="F311" s="3" t="str">
        <f>_xlfn.XLOOKUP(Table3[[#This Row],[Location ]], Table1[Location],Table1[SVG Location],0,0)</f>
        <v>XDU_100</v>
      </c>
      <c r="G311" s="3" t="s">
        <v>1617</v>
      </c>
    </row>
    <row r="312" spans="1:7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tr">
        <f>_xlfn.XLOOKUP(Table3[[#This Row],[Location ]],Table1[Location],Table1[Oracle Location],0,0)</f>
        <v>MONBLW</v>
      </c>
      <c r="F312" s="3" t="str">
        <f>_xlfn.XLOOKUP(Table3[[#This Row],[Location ]], Table1[Location],Table1[SVG Location],0,0)</f>
        <v>Blower</v>
      </c>
      <c r="G312" s="3" t="s">
        <v>1617</v>
      </c>
    </row>
    <row r="313" spans="1:7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tr">
        <f>_xlfn.XLOOKUP(Table3[[#This Row],[Location ]],Table1[Location],Table1[Oracle Location],0,0)</f>
        <v>MONDP</v>
      </c>
      <c r="F313" s="3" t="str">
        <f>_xlfn.XLOOKUP(Table3[[#This Row],[Location ]], Table1[Location],Table1[SVG Location],0,0)</f>
        <v>DH_400</v>
      </c>
      <c r="G313" s="3" t="s">
        <v>1617</v>
      </c>
    </row>
    <row r="314" spans="1:7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tr">
        <f>_xlfn.XLOOKUP(Table3[[#This Row],[Location ]],Table1[Location],Table1[Oracle Location],0,0)</f>
        <v>MONPIPING</v>
      </c>
      <c r="F314" s="3" t="str">
        <f>_xlfn.XLOOKUP(Table3[[#This Row],[Location ]], Table1[Location],Table1[SVG Location],0,0)</f>
        <v>Piping</v>
      </c>
      <c r="G314" s="3" t="s">
        <v>1615</v>
      </c>
    </row>
    <row r="315" spans="1:7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tr">
        <f>_xlfn.XLOOKUP(Table3[[#This Row],[Location ]],Table1[Location],Table1[Oracle Location],0,0)</f>
        <v>MTY 1, MTY1</v>
      </c>
      <c r="F315" s="3" t="str">
        <f>_xlfn.XLOOKUP(Table3[[#This Row],[Location ]], Table1[Location],Table1[SVG Location],0,0)</f>
        <v>Warehouse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tr">
        <f>_xlfn.XLOOKUP(Table3[[#This Row],[Location ]],Table1[Location],Table1[Oracle Location],0,0)</f>
        <v>MTY3</v>
      </c>
      <c r="F316" s="3" t="str">
        <f>_xlfn.XLOOKUP(Table3[[#This Row],[Location ]], Table1[Location],Table1[SVG Location],0,0)</f>
        <v>MTY3</v>
      </c>
      <c r="G316" s="3" t="s">
        <v>1614</v>
      </c>
    </row>
    <row r="317" spans="1:7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tr">
        <f>_xlfn.XLOOKUP(Table3[[#This Row],[Location ]],Table1[Location],Table1[Oracle Location],0,0)</f>
        <v>MONCOILS</v>
      </c>
      <c r="F317" s="3" t="str">
        <f>_xlfn.XLOOKUP(Table3[[#This Row],[Location ]], Table1[Location],Table1[SVG Location],0,0)</f>
        <v>Coils_Shop</v>
      </c>
      <c r="G317" s="3" t="s">
        <v>1613</v>
      </c>
    </row>
    <row r="318" spans="1:7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tr">
        <f>_xlfn.XLOOKUP(Table3[[#This Row],[Location ]],Table1[Location],Table1[Oracle Location],0,0)</f>
        <v>MONKITS</v>
      </c>
      <c r="F318" s="3" t="str">
        <f>_xlfn.XLOOKUP(Table3[[#This Row],[Location ]], Table1[Location],Table1[SVG Location],0,0)</f>
        <v>Kits</v>
      </c>
      <c r="G318" s="3" t="s">
        <v>1617</v>
      </c>
    </row>
    <row r="319" spans="1:7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tr">
        <f>_xlfn.XLOOKUP(Table3[[#This Row],[Location ]],Table1[Location],Table1[Oracle Location],0,0)</f>
        <v>MONDP</v>
      </c>
      <c r="F319" s="3" t="str">
        <f>_xlfn.XLOOKUP(Table3[[#This Row],[Location ]], Table1[Location],Table1[SVG Location],0,0)</f>
        <v>DH_400</v>
      </c>
      <c r="G319" s="3" t="s">
        <v>1615</v>
      </c>
    </row>
    <row r="320" spans="1:7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tr">
        <f>_xlfn.XLOOKUP(Table3[[#This Row],[Location ]],Table1[Location],Table1[Oracle Location],0,0)</f>
        <v>MTY 1, MTY1</v>
      </c>
      <c r="F320" s="3" t="str">
        <f>_xlfn.XLOOKUP(Table3[[#This Row],[Location ]], Table1[Location],Table1[SVG Location],0,0)</f>
        <v>Warehouse</v>
      </c>
      <c r="G320" s="3" t="s">
        <v>1617</v>
      </c>
    </row>
    <row r="321" spans="1:7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tr">
        <f>_xlfn.XLOOKUP(Table3[[#This Row],[Location ]],Table1[Location],Table1[Oracle Location],0,0)</f>
        <v>MONEP</v>
      </c>
      <c r="F321" s="3" t="str">
        <f>_xlfn.XLOOKUP(Table3[[#This Row],[Location ]], Table1[Location],Table1[SVG Location],0,0)</f>
        <v>EP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tr">
        <f>_xlfn.XLOOKUP(Table3[[#This Row],[Location ]],Table1[Location],Table1[Oracle Location],0,0)</f>
        <v>ALL</v>
      </c>
      <c r="F322" s="3" t="str">
        <f>_xlfn.XLOOKUP(Table3[[#This Row],[Location ]], Table1[Location],Table1[SVG Location],0,0)</f>
        <v>ALL</v>
      </c>
      <c r="G322" s="3" t="s">
        <v>1614</v>
      </c>
    </row>
    <row r="323" spans="1:7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tr">
        <f>_xlfn.XLOOKUP(Table3[[#This Row],[Location ]],Table1[Location],Table1[Oracle Location],0,0)</f>
        <v>MONPRE</v>
      </c>
      <c r="F323" s="3" t="str">
        <f>_xlfn.XLOOKUP(Table3[[#This Row],[Location ]], Table1[Location],Table1[SVG Location],0,0)</f>
        <v>PRE_L1</v>
      </c>
      <c r="G323" s="3" t="s">
        <v>1615</v>
      </c>
    </row>
    <row r="324" spans="1:7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tr">
        <f>_xlfn.XLOOKUP(Table3[[#This Row],[Location ]],Table1[Location],Table1[Oracle Location],0,0)</f>
        <v>MONXDU</v>
      </c>
      <c r="F324" s="3" t="str">
        <f>_xlfn.XLOOKUP(Table3[[#This Row],[Location ]], Table1[Location],Table1[SVG Location],0,0)</f>
        <v>XDU_1350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tr">
        <f>_xlfn.XLOOKUP(Table3[[#This Row],[Location ]],Table1[Location],Table1[Oracle Location],0,0)</f>
        <v>MTY 1, MTY1</v>
      </c>
      <c r="F325" s="3" t="str">
        <f>_xlfn.XLOOKUP(Table3[[#This Row],[Location ]], Table1[Location],Table1[SVG Location],0,0)</f>
        <v>Warehouse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tr">
        <f>_xlfn.XLOOKUP(Table3[[#This Row],[Location ]],Table1[Location],Table1[Oracle Location],0,0)</f>
        <v>MTY3</v>
      </c>
      <c r="F326" s="3" t="str">
        <f>_xlfn.XLOOKUP(Table3[[#This Row],[Location ]], Table1[Location],Table1[SVG Location],0,0)</f>
        <v>MTY3</v>
      </c>
      <c r="G326" s="3">
        <v>0</v>
      </c>
    </row>
    <row r="327" spans="1:7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tr">
        <f>_xlfn.XLOOKUP(Table3[[#This Row],[Location ]],Table1[Location],Table1[Oracle Location],0,0)</f>
        <v>SHIP</v>
      </c>
      <c r="F327" s="3" t="str">
        <f>_xlfn.XLOOKUP(Table3[[#This Row],[Location ]], Table1[Location],Table1[SVG Location],0,0)</f>
        <v>SHIP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tr">
        <f>_xlfn.XLOOKUP(Table3[[#This Row],[Location ]],Table1[Location],Table1[Oracle Location],0,0)</f>
        <v>MONMC</v>
      </c>
      <c r="F328" s="3" t="str">
        <f>_xlfn.XLOOKUP(Table3[[#This Row],[Location ]], Table1[Location],Table1[SVG Location],0,0)</f>
        <v>MC</v>
      </c>
      <c r="G328" s="3" t="s">
        <v>1614</v>
      </c>
    </row>
    <row r="329" spans="1:7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tr">
        <f>_xlfn.XLOOKUP(Table3[[#This Row],[Location ]],Table1[Location],Table1[Oracle Location],0,0)</f>
        <v>MONXDU</v>
      </c>
      <c r="F329" s="3" t="str">
        <f>_xlfn.XLOOKUP(Table3[[#This Row],[Location ]], Table1[Location],Table1[SVG Location],0,0)</f>
        <v>XDU_1350</v>
      </c>
      <c r="G329" s="3" t="s">
        <v>1617</v>
      </c>
    </row>
    <row r="330" spans="1:7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tr">
        <f>_xlfn.XLOOKUP(Table3[[#This Row],[Location ]],Table1[Location],Table1[Oracle Location],0,0)</f>
        <v>MONXDU</v>
      </c>
      <c r="F330" s="3" t="str">
        <f>_xlfn.XLOOKUP(Table3[[#This Row],[Location ]], Table1[Location],Table1[SVG Location],0,0)</f>
        <v>XDU_1350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tr">
        <f>_xlfn.XLOOKUP(Table3[[#This Row],[Location ]],Table1[Location],Table1[Oracle Location],0,0)</f>
        <v>MONXDU</v>
      </c>
      <c r="F331" s="3" t="str">
        <f>_xlfn.XLOOKUP(Table3[[#This Row],[Location ]], Table1[Location],Table1[SVG Location],0,0)</f>
        <v>XDU_1350</v>
      </c>
      <c r="G331" s="3" t="s">
        <v>1614</v>
      </c>
    </row>
    <row r="332" spans="1:7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tr">
        <f>_xlfn.XLOOKUP(Table3[[#This Row],[Location ]],Table1[Location],Table1[Oracle Location],0,0)</f>
        <v>MONDP</v>
      </c>
      <c r="F332" s="3" t="str">
        <f>_xlfn.XLOOKUP(Table3[[#This Row],[Location ]], Table1[Location],Table1[SVG Location],0,0)</f>
        <v>DH_400</v>
      </c>
      <c r="G332" s="3" t="s">
        <v>1615</v>
      </c>
    </row>
    <row r="333" spans="1:7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tr">
        <f>_xlfn.XLOOKUP(Table3[[#This Row],[Location ]],Table1[Location],Table1[Oracle Location],0,0)</f>
        <v>MONXDU100</v>
      </c>
      <c r="F333" s="3" t="str">
        <f>_xlfn.XLOOKUP(Table3[[#This Row],[Location ]], Table1[Location],Table1[SVG Location],0,0)</f>
        <v>XDU_100</v>
      </c>
      <c r="G333" s="3" t="s">
        <v>1613</v>
      </c>
    </row>
    <row r="334" spans="1:7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tr">
        <f>_xlfn.XLOOKUP(Table3[[#This Row],[Location ]],Table1[Location],Table1[Oracle Location],0,0)</f>
        <v>MONXDU</v>
      </c>
      <c r="F334" s="3" t="str">
        <f>_xlfn.XLOOKUP(Table3[[#This Row],[Location ]], Table1[Location],Table1[SVG Location],0,0)</f>
        <v>XDU_1350</v>
      </c>
      <c r="G334" s="3" t="s">
        <v>1615</v>
      </c>
    </row>
    <row r="335" spans="1:7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tr">
        <f>_xlfn.XLOOKUP(Table3[[#This Row],[Location ]],Table1[Location],Table1[Oracle Location],0,0)</f>
        <v>MONDP</v>
      </c>
      <c r="F335" s="3" t="str">
        <f>_xlfn.XLOOKUP(Table3[[#This Row],[Location ]], Table1[Location],Table1[SVG Location],0,0)</f>
        <v>DH_400</v>
      </c>
      <c r="G335" s="3" t="s">
        <v>1615</v>
      </c>
    </row>
    <row r="336" spans="1:7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tr">
        <f>_xlfn.XLOOKUP(Table3[[#This Row],[Location ]],Table1[Location],Table1[Oracle Location],0,0)</f>
        <v>MONDP</v>
      </c>
      <c r="F336" s="3" t="str">
        <f>_xlfn.XLOOKUP(Table3[[#This Row],[Location ]], Table1[Location],Table1[SVG Location],0,0)</f>
        <v>DH_400</v>
      </c>
      <c r="G336" s="3" t="s">
        <v>1617</v>
      </c>
    </row>
    <row r="337" spans="1:7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tr">
        <f>_xlfn.XLOOKUP(Table3[[#This Row],[Location ]],Table1[Location],Table1[Oracle Location],0,0)</f>
        <v>MONPRE</v>
      </c>
      <c r="F337" s="3" t="str">
        <f>_xlfn.XLOOKUP(Table3[[#This Row],[Location ]], Table1[Location],Table1[SVG Location],0,0)</f>
        <v>PRE_L1</v>
      </c>
      <c r="G337" s="3" t="s">
        <v>1617</v>
      </c>
    </row>
    <row r="338" spans="1:7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tr">
        <f>_xlfn.XLOOKUP(Table3[[#This Row],[Location ]],Table1[Location],Table1[Oracle Location],0,0)</f>
        <v>MONDP</v>
      </c>
      <c r="F338" s="3" t="str">
        <f>_xlfn.XLOOKUP(Table3[[#This Row],[Location ]], Table1[Location],Table1[SVG Location],0,0)</f>
        <v>DH_400</v>
      </c>
      <c r="G338" s="3" t="s">
        <v>1615</v>
      </c>
    </row>
    <row r="339" spans="1:7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tr">
        <f>_xlfn.XLOOKUP(Table3[[#This Row],[Location ]],Table1[Location],Table1[Oracle Location],0,0)</f>
        <v>MONDA</v>
      </c>
      <c r="F339" s="3" t="str">
        <f>_xlfn.XLOOKUP(Table3[[#This Row],[Location ]], Table1[Location],Table1[SVG Location],0,0)</f>
        <v>MONDA</v>
      </c>
      <c r="G339" s="3" t="s">
        <v>1617</v>
      </c>
    </row>
    <row r="340" spans="1:7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tr">
        <f>_xlfn.XLOOKUP(Table3[[#This Row],[Location ]],Table1[Location],Table1[Oracle Location],0,0)</f>
        <v>MONDP</v>
      </c>
      <c r="F340" s="3" t="str">
        <f>_xlfn.XLOOKUP(Table3[[#This Row],[Location ]], Table1[Location],Table1[SVG Location],0,0)</f>
        <v>DH_400</v>
      </c>
      <c r="G340" s="3" t="s">
        <v>1615</v>
      </c>
    </row>
    <row r="341" spans="1:7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tr">
        <f>_xlfn.XLOOKUP(Table3[[#This Row],[Location ]],Table1[Location],Table1[Oracle Location],0,0)</f>
        <v>MTY 1, MTY1</v>
      </c>
      <c r="F341" s="3" t="str">
        <f>_xlfn.XLOOKUP(Table3[[#This Row],[Location ]], Table1[Location],Table1[SVG Location],0,0)</f>
        <v>Warehouse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tr">
        <f>_xlfn.XLOOKUP(Table3[[#This Row],[Location ]],Table1[Location],Table1[Oracle Location],0,0)</f>
        <v>MTY3</v>
      </c>
      <c r="F342" s="3" t="str">
        <f>_xlfn.XLOOKUP(Table3[[#This Row],[Location ]], Table1[Location],Table1[SVG Location],0,0)</f>
        <v>MTY3</v>
      </c>
      <c r="G342" s="3" t="s">
        <v>1614</v>
      </c>
    </row>
    <row r="343" spans="1:7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tr">
        <f>_xlfn.XLOOKUP(Table3[[#This Row],[Location ]],Table1[Location],Table1[Oracle Location],0,0)</f>
        <v>MONXDU</v>
      </c>
      <c r="F343" s="3" t="str">
        <f>_xlfn.XLOOKUP(Table3[[#This Row],[Location ]], Table1[Location],Table1[SVG Location],0,0)</f>
        <v>XDU_1350</v>
      </c>
      <c r="G343" s="3" t="s">
        <v>1617</v>
      </c>
    </row>
    <row r="344" spans="1:7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tr">
        <f>_xlfn.XLOOKUP(Table3[[#This Row],[Location ]],Table1[Location],Table1[Oracle Location],0,0)</f>
        <v>MONDA</v>
      </c>
      <c r="F344" s="3" t="str">
        <f>_xlfn.XLOOKUP(Table3[[#This Row],[Location ]], Table1[Location],Table1[SVG Location],0,0)</f>
        <v>MONDA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tr">
        <f>_xlfn.XLOOKUP(Table3[[#This Row],[Location ]],Table1[Location],Table1[Oracle Location],0,0)</f>
        <v>MONEP</v>
      </c>
      <c r="F345" s="3" t="str">
        <f>_xlfn.XLOOKUP(Table3[[#This Row],[Location ]], Table1[Location],Table1[SVG Location],0,0)</f>
        <v>EP</v>
      </c>
      <c r="G345" s="3" t="s">
        <v>1614</v>
      </c>
    </row>
    <row r="346" spans="1:7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tr">
        <f>_xlfn.XLOOKUP(Table3[[#This Row],[Location ]],Table1[Location],Table1[Oracle Location],0,0)</f>
        <v>MONDP</v>
      </c>
      <c r="F346" s="3" t="str">
        <f>_xlfn.XLOOKUP(Table3[[#This Row],[Location ]], Table1[Location],Table1[SVG Location],0,0)</f>
        <v>DH_400</v>
      </c>
      <c r="G346" s="3" t="s">
        <v>1617</v>
      </c>
    </row>
    <row r="347" spans="1:7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tr">
        <f>_xlfn.XLOOKUP(Table3[[#This Row],[Location ]],Table1[Location],Table1[Oracle Location],0,0)</f>
        <v>MONDP</v>
      </c>
      <c r="F347" s="3" t="str">
        <f>_xlfn.XLOOKUP(Table3[[#This Row],[Location ]], Table1[Location],Table1[SVG Location],0,0)</f>
        <v>DH_400</v>
      </c>
      <c r="G347" s="3" t="s">
        <v>1613</v>
      </c>
    </row>
    <row r="348" spans="1:7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tr">
        <f>_xlfn.XLOOKUP(Table3[[#This Row],[Location ]],Table1[Location],Table1[Oracle Location],0,0)</f>
        <v>MONMC</v>
      </c>
      <c r="F348" s="3" t="str">
        <f>_xlfn.XLOOKUP(Table3[[#This Row],[Location ]], Table1[Location],Table1[SVG Location],0,0)</f>
        <v>MC</v>
      </c>
      <c r="G348" s="3" t="s">
        <v>1617</v>
      </c>
    </row>
    <row r="349" spans="1:7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tr">
        <f>_xlfn.XLOOKUP(Table3[[#This Row],[Location ]],Table1[Location],Table1[Oracle Location],0,0)</f>
        <v>MONMC</v>
      </c>
      <c r="F349" s="3" t="str">
        <f>_xlfn.XLOOKUP(Table3[[#This Row],[Location ]], Table1[Location],Table1[SVG Location],0,0)</f>
        <v>MC</v>
      </c>
      <c r="G349" s="3" t="s">
        <v>1615</v>
      </c>
    </row>
    <row r="350" spans="1:7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tr">
        <f>_xlfn.XLOOKUP(Table3[[#This Row],[Location ]],Table1[Location],Table1[Oracle Location],0,0)</f>
        <v>MONMC</v>
      </c>
      <c r="F350" s="3" t="str">
        <f>_xlfn.XLOOKUP(Table3[[#This Row],[Location ]], Table1[Location],Table1[SVG Location],0,0)</f>
        <v>MC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tr">
        <f>_xlfn.XLOOKUP(Table3[[#This Row],[Location ]],Table1[Location],Table1[Oracle Location],0,0)</f>
        <v>MONDA</v>
      </c>
      <c r="F351" s="3" t="str">
        <f>_xlfn.XLOOKUP(Table3[[#This Row],[Location ]], Table1[Location],Table1[SVG Location],0,0)</f>
        <v>MONDA</v>
      </c>
      <c r="G351" s="3" t="s">
        <v>1614</v>
      </c>
    </row>
    <row r="352" spans="1:7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tr">
        <f>_xlfn.XLOOKUP(Table3[[#This Row],[Location ]],Table1[Location],Table1[Oracle Location],0,0)</f>
        <v>MONCOILS</v>
      </c>
      <c r="F352" s="3" t="str">
        <f>_xlfn.XLOOKUP(Table3[[#This Row],[Location ]], Table1[Location],Table1[SVG Location],0,0)</f>
        <v>Coils_Shop</v>
      </c>
      <c r="G352" s="3" t="s">
        <v>1617</v>
      </c>
    </row>
    <row r="353" spans="1:7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tr">
        <f>_xlfn.XLOOKUP(Table3[[#This Row],[Location ]],Table1[Location],Table1[Oracle Location],0,0)</f>
        <v>MONMC</v>
      </c>
      <c r="F353" s="3" t="str">
        <f>_xlfn.XLOOKUP(Table3[[#This Row],[Location ]], Table1[Location],Table1[SVG Location],0,0)</f>
        <v>MC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tr">
        <f>_xlfn.XLOOKUP(Table3[[#This Row],[Location ]],Table1[Location],Table1[Oracle Location],0,0)</f>
        <v>MTY3</v>
      </c>
      <c r="F354" s="3" t="str">
        <f>_xlfn.XLOOKUP(Table3[[#This Row],[Location ]], Table1[Location],Table1[SVG Location],0,0)</f>
        <v>MTY3</v>
      </c>
      <c r="G354" s="3" t="s">
        <v>1614</v>
      </c>
    </row>
    <row r="355" spans="1:7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tr">
        <f>_xlfn.XLOOKUP(Table3[[#This Row],[Location ]],Table1[Location],Table1[Oracle Location],0,0)</f>
        <v>MONXDU</v>
      </c>
      <c r="F355" s="3" t="str">
        <f>_xlfn.XLOOKUP(Table3[[#This Row],[Location ]], Table1[Location],Table1[SVG Location],0,0)</f>
        <v>XDU_1350</v>
      </c>
      <c r="G355" s="3" t="s">
        <v>1613</v>
      </c>
    </row>
    <row r="356" spans="1:7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tr">
        <f>_xlfn.XLOOKUP(Table3[[#This Row],[Location ]],Table1[Location],Table1[Oracle Location],0,0)</f>
        <v>MONEP</v>
      </c>
      <c r="F356" s="3" t="str">
        <f>_xlfn.XLOOKUP(Table3[[#This Row],[Location ]], Table1[Location],Table1[SVG Location],0,0)</f>
        <v>EP</v>
      </c>
      <c r="G356" s="3" t="s">
        <v>1615</v>
      </c>
    </row>
    <row r="357" spans="1:7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tr">
        <f>_xlfn.XLOOKUP(Table3[[#This Row],[Location ]],Table1[Location],Table1[Oracle Location],0,0)</f>
        <v>MONDA</v>
      </c>
      <c r="F357" s="3" t="str">
        <f>_xlfn.XLOOKUP(Table3[[#This Row],[Location ]], Table1[Location],Table1[SVG Location],0,0)</f>
        <v>MONDA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tr">
        <f>_xlfn.XLOOKUP(Table3[[#This Row],[Location ]],Table1[Location],Table1[Oracle Location],0,0)</f>
        <v>ALL</v>
      </c>
      <c r="F358" s="3" t="str">
        <f>_xlfn.XLOOKUP(Table3[[#This Row],[Location ]], Table1[Location],Table1[SVG Location],0,0)</f>
        <v>ALL</v>
      </c>
      <c r="G358" s="3" t="s">
        <v>1614</v>
      </c>
    </row>
    <row r="359" spans="1:7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tr">
        <f>_xlfn.XLOOKUP(Table3[[#This Row],[Location ]],Table1[Location],Table1[Oracle Location],0,0)</f>
        <v>MONDP</v>
      </c>
      <c r="F359" s="3" t="str">
        <f>_xlfn.XLOOKUP(Table3[[#This Row],[Location ]], Table1[Location],Table1[SVG Location],0,0)</f>
        <v>DH_400</v>
      </c>
      <c r="G359" s="3" t="s">
        <v>1617</v>
      </c>
    </row>
    <row r="360" spans="1:7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tr">
        <f>_xlfn.XLOOKUP(Table3[[#This Row],[Location ]],Table1[Location],Table1[Oracle Location],0,0)</f>
        <v>MONEP</v>
      </c>
      <c r="F360" s="3" t="str">
        <f>_xlfn.XLOOKUP(Table3[[#This Row],[Location ]], Table1[Location],Table1[SVG Location],0,0)</f>
        <v>EP</v>
      </c>
      <c r="G360" s="3" t="s">
        <v>1615</v>
      </c>
    </row>
    <row r="361" spans="1:7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tr">
        <f>_xlfn.XLOOKUP(Table3[[#This Row],[Location ]],Table1[Location],Table1[Oracle Location],0,0)</f>
        <v>MONPRE</v>
      </c>
      <c r="F361" s="3" t="str">
        <f>_xlfn.XLOOKUP(Table3[[#This Row],[Location ]], Table1[Location],Table1[SVG Location],0,0)</f>
        <v>PRE_L1</v>
      </c>
      <c r="G361" s="3" t="s">
        <v>1617</v>
      </c>
    </row>
    <row r="362" spans="1:7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tr">
        <f>_xlfn.XLOOKUP(Table3[[#This Row],[Location ]],Table1[Location],Table1[Oracle Location],0,0)</f>
        <v>MONXDU</v>
      </c>
      <c r="F362" s="3" t="str">
        <f>_xlfn.XLOOKUP(Table3[[#This Row],[Location ]], Table1[Location],Table1[SVG Location],0,0)</f>
        <v>XDU_1350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tr">
        <f>_xlfn.XLOOKUP(Table3[[#This Row],[Location ]],Table1[Location],Table1[Oracle Location],0,0)</f>
        <v>MTY 1, MTY1</v>
      </c>
      <c r="F363" s="3" t="str">
        <f>_xlfn.XLOOKUP(Table3[[#This Row],[Location ]], Table1[Location],Table1[SVG Location],0,0)</f>
        <v>Warehouse</v>
      </c>
      <c r="G363" s="3" t="s">
        <v>1614</v>
      </c>
    </row>
    <row r="364" spans="1:7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tr">
        <f>_xlfn.XLOOKUP(Table3[[#This Row],[Location ]],Table1[Location],Table1[Oracle Location],0,0)</f>
        <v>MONPRE</v>
      </c>
      <c r="F364" s="3" t="str">
        <f>_xlfn.XLOOKUP(Table3[[#This Row],[Location ]], Table1[Location],Table1[SVG Location],0,0)</f>
        <v>PRE_L1</v>
      </c>
      <c r="G364" s="3" t="s">
        <v>1617</v>
      </c>
    </row>
    <row r="365" spans="1:7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tr">
        <f>_xlfn.XLOOKUP(Table3[[#This Row],[Location ]],Table1[Location],Table1[Oracle Location],0,0)</f>
        <v>MONBLW</v>
      </c>
      <c r="F365" s="3" t="str">
        <f>_xlfn.XLOOKUP(Table3[[#This Row],[Location ]], Table1[Location],Table1[SVG Location],0,0)</f>
        <v>Blower</v>
      </c>
      <c r="G365" s="3" t="s">
        <v>1615</v>
      </c>
    </row>
    <row r="366" spans="1:7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tr">
        <f>_xlfn.XLOOKUP(Table3[[#This Row],[Location ]],Table1[Location],Table1[Oracle Location],0,0)</f>
        <v>MONEP</v>
      </c>
      <c r="F366" s="3" t="str">
        <f>_xlfn.XLOOKUP(Table3[[#This Row],[Location ]], Table1[Location],Table1[SVG Location],0,0)</f>
        <v>EP</v>
      </c>
      <c r="G366" s="3" t="s">
        <v>1615</v>
      </c>
    </row>
    <row r="367" spans="1:7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tr">
        <f>_xlfn.XLOOKUP(Table3[[#This Row],[Location ]],Table1[Location],Table1[Oracle Location],0,0)</f>
        <v>MONXDU</v>
      </c>
      <c r="F367" s="3" t="str">
        <f>_xlfn.XLOOKUP(Table3[[#This Row],[Location ]], Table1[Location],Table1[SVG Location],0,0)</f>
        <v>XDU_1350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tr">
        <f>_xlfn.XLOOKUP(Table3[[#This Row],[Location ]],Table1[Location],Table1[Oracle Location],0,0)</f>
        <v>MTY3</v>
      </c>
      <c r="F368" s="3" t="str">
        <f>_xlfn.XLOOKUP(Table3[[#This Row],[Location ]], Table1[Location],Table1[SVG Location],0,0)</f>
        <v>MTY3</v>
      </c>
      <c r="G368" s="3" t="s">
        <v>1614</v>
      </c>
    </row>
    <row r="369" spans="1:7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tr">
        <f>_xlfn.XLOOKUP(Table3[[#This Row],[Location ]],Table1[Location],Table1[Oracle Location],0,0)</f>
        <v>MONXDU</v>
      </c>
      <c r="F369" s="3" t="str">
        <f>_xlfn.XLOOKUP(Table3[[#This Row],[Location ]], Table1[Location],Table1[SVG Location],0,0)</f>
        <v>XDU_1350</v>
      </c>
      <c r="G369" s="3" t="s">
        <v>1613</v>
      </c>
    </row>
    <row r="370" spans="1:7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tr">
        <f>_xlfn.XLOOKUP(Table3[[#This Row],[Location ]],Table1[Location],Table1[Oracle Location],0,0)</f>
        <v>MONDP</v>
      </c>
      <c r="F370" s="3" t="str">
        <f>_xlfn.XLOOKUP(Table3[[#This Row],[Location ]], Table1[Location],Table1[SVG Location],0,0)</f>
        <v>DH_400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tr">
        <f>_xlfn.XLOOKUP(Table3[[#This Row],[Location ]],Table1[Location],Table1[Oracle Location],0,0)</f>
        <v>MONXDM</v>
      </c>
      <c r="F371" s="3" t="str">
        <f>_xlfn.XLOOKUP(Table3[[#This Row],[Location ]], Table1[Location],Table1[SVG Location],0,0)</f>
        <v>XDM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tr">
        <f>_xlfn.XLOOKUP(Table3[[#This Row],[Location ]],Table1[Location],Table1[Oracle Location],0,0)</f>
        <v>MONDA</v>
      </c>
      <c r="F372" s="3" t="str">
        <f>_xlfn.XLOOKUP(Table3[[#This Row],[Location ]], Table1[Location],Table1[SVG Location],0,0)</f>
        <v>MONDA</v>
      </c>
      <c r="G372" s="3" t="s">
        <v>1614</v>
      </c>
    </row>
    <row r="373" spans="1:7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tr">
        <f>_xlfn.XLOOKUP(Table3[[#This Row],[Location ]],Table1[Location],Table1[Oracle Location],0,0)</f>
        <v>MONMC</v>
      </c>
      <c r="F373" s="3" t="str">
        <f>_xlfn.XLOOKUP(Table3[[#This Row],[Location ]], Table1[Location],Table1[SVG Location],0,0)</f>
        <v>MC</v>
      </c>
      <c r="G373" s="3" t="s">
        <v>1617</v>
      </c>
    </row>
    <row r="374" spans="1:7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tr">
        <f>_xlfn.XLOOKUP(Table3[[#This Row],[Location ]],Table1[Location],Table1[Oracle Location],0,0)</f>
        <v>MONXDU</v>
      </c>
      <c r="F374" s="3" t="str">
        <f>_xlfn.XLOOKUP(Table3[[#This Row],[Location ]], Table1[Location],Table1[SVG Location],0,0)</f>
        <v>XDU_1350</v>
      </c>
      <c r="G374" s="3" t="s">
        <v>1617</v>
      </c>
    </row>
    <row r="375" spans="1:7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tr">
        <f>_xlfn.XLOOKUP(Table3[[#This Row],[Location ]],Table1[Location],Table1[Oracle Location],0,0)</f>
        <v>MONXDU100</v>
      </c>
      <c r="F375" s="3" t="str">
        <f>_xlfn.XLOOKUP(Table3[[#This Row],[Location ]], Table1[Location],Table1[SVG Location],0,0)</f>
        <v>XDU_100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tr">
        <f>_xlfn.XLOOKUP(Table3[[#This Row],[Location ]],Table1[Location],Table1[Oracle Location],0,0)</f>
        <v>ALL</v>
      </c>
      <c r="F376" s="3" t="str">
        <f>_xlfn.XLOOKUP(Table3[[#This Row],[Location ]], Table1[Location],Table1[SVG Location],0,0)</f>
        <v>ALL</v>
      </c>
      <c r="G376" s="3" t="s">
        <v>1614</v>
      </c>
    </row>
    <row r="377" spans="1:7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tr">
        <f>_xlfn.XLOOKUP(Table3[[#This Row],[Location ]],Table1[Location],Table1[Oracle Location],0,0)</f>
        <v>MONMC</v>
      </c>
      <c r="F377" s="3" t="str">
        <f>_xlfn.XLOOKUP(Table3[[#This Row],[Location ]], Table1[Location],Table1[SVG Location],0,0)</f>
        <v>MC</v>
      </c>
      <c r="G377" s="3" t="s">
        <v>1615</v>
      </c>
    </row>
    <row r="378" spans="1:7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tr">
        <f>_xlfn.XLOOKUP(Table3[[#This Row],[Location ]],Table1[Location],Table1[Oracle Location],0,0)</f>
        <v>MONCOILS</v>
      </c>
      <c r="F378" s="3" t="str">
        <f>_xlfn.XLOOKUP(Table3[[#This Row],[Location ]], Table1[Location],Table1[SVG Location],0,0)</f>
        <v>Coils_Shop</v>
      </c>
      <c r="G378" s="3" t="s">
        <v>1617</v>
      </c>
    </row>
    <row r="379" spans="1:7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tr">
        <f>_xlfn.XLOOKUP(Table3[[#This Row],[Location ]],Table1[Location],Table1[Oracle Location],0,0)</f>
        <v>MTY 1, MTY1</v>
      </c>
      <c r="F379" s="3" t="str">
        <f>_xlfn.XLOOKUP(Table3[[#This Row],[Location ]], Table1[Location],Table1[SVG Location],0,0)</f>
        <v>Warehouse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tr">
        <f>_xlfn.XLOOKUP(Table3[[#This Row],[Location ]],Table1[Location],Table1[Oracle Location],0,0)</f>
        <v>MONXDU100</v>
      </c>
      <c r="F380" s="3" t="str">
        <f>_xlfn.XLOOKUP(Table3[[#This Row],[Location ]], Table1[Location],Table1[SVG Location],0,0)</f>
        <v>XDU_100</v>
      </c>
      <c r="G380" s="3" t="s">
        <v>1614</v>
      </c>
    </row>
    <row r="381" spans="1:7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tr">
        <f>_xlfn.XLOOKUP(Table3[[#This Row],[Location ]],Table1[Location],Table1[Oracle Location],0,0)</f>
        <v>MONEP</v>
      </c>
      <c r="F381" s="3" t="str">
        <f>_xlfn.XLOOKUP(Table3[[#This Row],[Location ]], Table1[Location],Table1[SVG Location],0,0)</f>
        <v>EP</v>
      </c>
      <c r="G381" s="3" t="s">
        <v>1615</v>
      </c>
    </row>
    <row r="382" spans="1:7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tr">
        <f>_xlfn.XLOOKUP(Table3[[#This Row],[Location ]],Table1[Location],Table1[Oracle Location],0,0)</f>
        <v>MONDP</v>
      </c>
      <c r="F382" s="3" t="str">
        <f>_xlfn.XLOOKUP(Table3[[#This Row],[Location ]], Table1[Location],Table1[SVG Location],0,0)</f>
        <v>DH_400</v>
      </c>
      <c r="G382" s="3" t="s">
        <v>1613</v>
      </c>
    </row>
    <row r="383" spans="1:7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tr">
        <f>_xlfn.XLOOKUP(Table3[[#This Row],[Location ]],Table1[Location],Table1[Oracle Location],0,0)</f>
        <v>MONXDU</v>
      </c>
      <c r="F383" s="3" t="str">
        <f>_xlfn.XLOOKUP(Table3[[#This Row],[Location ]], Table1[Location],Table1[SVG Location],0,0)</f>
        <v>XDU_1350</v>
      </c>
      <c r="G383" s="3" t="s">
        <v>1613</v>
      </c>
    </row>
    <row r="384" spans="1:7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tr">
        <f>_xlfn.XLOOKUP(Table3[[#This Row],[Location ]],Table1[Location],Table1[Oracle Location],0,0)</f>
        <v>MONSM</v>
      </c>
      <c r="F384" s="3" t="str">
        <f>_xlfn.XLOOKUP(Table3[[#This Row],[Location ]], Table1[Location],Table1[SVG Location],0,0)</f>
        <v>Sheet_Metal</v>
      </c>
      <c r="G384" s="3" t="s">
        <v>1617</v>
      </c>
    </row>
    <row r="385" spans="1:7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tr">
        <f>_xlfn.XLOOKUP(Table3[[#This Row],[Location ]],Table1[Location],Table1[Oracle Location],0,0)</f>
        <v>MONEP</v>
      </c>
      <c r="F385" s="3" t="str">
        <f>_xlfn.XLOOKUP(Table3[[#This Row],[Location ]], Table1[Location],Table1[SVG Location],0,0)</f>
        <v>EP</v>
      </c>
      <c r="G385" s="3" t="s">
        <v>1615</v>
      </c>
    </row>
    <row r="386" spans="1:7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tr">
        <f>_xlfn.XLOOKUP(Table3[[#This Row],[Location ]],Table1[Location],Table1[Oracle Location],0,0)</f>
        <v>MONEP</v>
      </c>
      <c r="F386" s="3" t="str">
        <f>_xlfn.XLOOKUP(Table3[[#This Row],[Location ]], Table1[Location],Table1[SVG Location],0,0)</f>
        <v>EP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tr">
        <f>_xlfn.XLOOKUP(Table3[[#This Row],[Location ]],Table1[Location],Table1[Oracle Location],0,0)</f>
        <v>MONDA</v>
      </c>
      <c r="F387" s="3" t="str">
        <f>_xlfn.XLOOKUP(Table3[[#This Row],[Location ]], Table1[Location],Table1[SVG Location],0,0)</f>
        <v>MONDA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tr">
        <f>_xlfn.XLOOKUP(Table3[[#This Row],[Location ]],Table1[Location],Table1[Oracle Location],0,0)</f>
        <v>MONSM</v>
      </c>
      <c r="F388" s="3" t="str">
        <f>_xlfn.XLOOKUP(Table3[[#This Row],[Location ]], Table1[Location],Table1[SVG Location],0,0)</f>
        <v>Sheet_Metal</v>
      </c>
      <c r="G388" s="3" t="s">
        <v>1614</v>
      </c>
    </row>
    <row r="389" spans="1:7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tr">
        <f>_xlfn.XLOOKUP(Table3[[#This Row],[Location ]],Table1[Location],Table1[Oracle Location],0,0)</f>
        <v>MONXDU</v>
      </c>
      <c r="F389" s="3" t="str">
        <f>_xlfn.XLOOKUP(Table3[[#This Row],[Location ]], Table1[Location],Table1[SVG Location],0,0)</f>
        <v>XDU_1350</v>
      </c>
      <c r="G389" s="3" t="s">
        <v>1617</v>
      </c>
    </row>
    <row r="390" spans="1:7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tr">
        <f>_xlfn.XLOOKUP(Table3[[#This Row],[Location ]],Table1[Location],Table1[Oracle Location],0,0)</f>
        <v>MONEP</v>
      </c>
      <c r="F390" s="3" t="str">
        <f>_xlfn.XLOOKUP(Table3[[#This Row],[Location ]], Table1[Location],Table1[SVG Location],0,0)</f>
        <v>EP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tr">
        <f>_xlfn.XLOOKUP(Table3[[#This Row],[Location ]],Table1[Location],Table1[Oracle Location],0,0)</f>
        <v>MON-AFC</v>
      </c>
      <c r="F391" s="3" t="str">
        <f>_xlfn.XLOOKUP(Table3[[#This Row],[Location ]], Table1[Location],Table1[SVG Location],0,0)</f>
        <v>AFC</v>
      </c>
      <c r="G391" s="3" t="s">
        <v>1614</v>
      </c>
    </row>
    <row r="392" spans="1:7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tr">
        <f>_xlfn.XLOOKUP(Table3[[#This Row],[Location ]],Table1[Location],Table1[Oracle Location],0,0)</f>
        <v>MONDP</v>
      </c>
      <c r="F392" s="3" t="str">
        <f>_xlfn.XLOOKUP(Table3[[#This Row],[Location ]], Table1[Location],Table1[SVG Location],0,0)</f>
        <v>DH_400</v>
      </c>
      <c r="G392" s="3" t="s">
        <v>1617</v>
      </c>
    </row>
    <row r="393" spans="1:7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tr">
        <f>_xlfn.XLOOKUP(Table3[[#This Row],[Location ]],Table1[Location],Table1[Oracle Location],0,0)</f>
        <v>MONBLW</v>
      </c>
      <c r="F393" s="3" t="str">
        <f>_xlfn.XLOOKUP(Table3[[#This Row],[Location ]], Table1[Location],Table1[SVG Location],0,0)</f>
        <v>Blower</v>
      </c>
      <c r="G393" s="3" t="s">
        <v>1617</v>
      </c>
    </row>
    <row r="394" spans="1:7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tr">
        <f>_xlfn.XLOOKUP(Table3[[#This Row],[Location ]],Table1[Location],Table1[Oracle Location],0,0)</f>
        <v>MTY 1, MTY1</v>
      </c>
      <c r="F394" s="3" t="str">
        <f>_xlfn.XLOOKUP(Table3[[#This Row],[Location ]], Table1[Location],Table1[SVG Location],0,0)</f>
        <v>Warehouse</v>
      </c>
      <c r="G394" s="3" t="s">
        <v>1617</v>
      </c>
    </row>
    <row r="395" spans="1:7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tr">
        <f>_xlfn.XLOOKUP(Table3[[#This Row],[Location ]],Table1[Location],Table1[Oracle Location],0,0)</f>
        <v>MONCOILS</v>
      </c>
      <c r="F395" s="3" t="str">
        <f>_xlfn.XLOOKUP(Table3[[#This Row],[Location ]], Table1[Location],Table1[SVG Location],0,0)</f>
        <v>Coils_Shop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tr">
        <f>_xlfn.XLOOKUP(Table3[[#This Row],[Location ]],Table1[Location],Table1[Oracle Location],0,0)</f>
        <v>MONDP</v>
      </c>
      <c r="F396" s="3" t="str">
        <f>_xlfn.XLOOKUP(Table3[[#This Row],[Location ]], Table1[Location],Table1[SVG Location],0,0)</f>
        <v>DH_400</v>
      </c>
      <c r="G396" s="3" t="s">
        <v>1614</v>
      </c>
    </row>
    <row r="397" spans="1:7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tr">
        <f>_xlfn.XLOOKUP(Table3[[#This Row],[Location ]],Table1[Location],Table1[Oracle Location],0,0)</f>
        <v>MONEP</v>
      </c>
      <c r="F397" s="3" t="str">
        <f>_xlfn.XLOOKUP(Table3[[#This Row],[Location ]], Table1[Location],Table1[SVG Location],0,0)</f>
        <v>EP</v>
      </c>
      <c r="G397" s="3" t="s">
        <v>1615</v>
      </c>
    </row>
    <row r="398" spans="1:7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tr">
        <f>_xlfn.XLOOKUP(Table3[[#This Row],[Location ]],Table1[Location],Table1[Oracle Location],0,0)</f>
        <v>MONMC</v>
      </c>
      <c r="F398" s="3" t="str">
        <f>_xlfn.XLOOKUP(Table3[[#This Row],[Location ]], Table1[Location],Table1[SVG Location],0,0)</f>
        <v>MC</v>
      </c>
      <c r="G398" s="3" t="s">
        <v>1617</v>
      </c>
    </row>
    <row r="399" spans="1:7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tr">
        <f>_xlfn.XLOOKUP(Table3[[#This Row],[Location ]],Table1[Location],Table1[Oracle Location],0,0)</f>
        <v>MONMC</v>
      </c>
      <c r="F399" s="3" t="str">
        <f>_xlfn.XLOOKUP(Table3[[#This Row],[Location ]], Table1[Location],Table1[SVG Location],0,0)</f>
        <v>MC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tr">
        <f>_xlfn.XLOOKUP(Table3[[#This Row],[Location ]],Table1[Location],Table1[Oracle Location],0,0)</f>
        <v>MONSM</v>
      </c>
      <c r="F400" s="3" t="str">
        <f>_xlfn.XLOOKUP(Table3[[#This Row],[Location ]], Table1[Location],Table1[SVG Location],0,0)</f>
        <v>Sheet_Metal</v>
      </c>
      <c r="G400" s="3" t="s">
        <v>1614</v>
      </c>
    </row>
    <row r="401" spans="1:7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tr">
        <f>_xlfn.XLOOKUP(Table3[[#This Row],[Location ]],Table1[Location],Table1[Oracle Location],0,0)</f>
        <v>MONDP</v>
      </c>
      <c r="F401" s="3" t="str">
        <f>_xlfn.XLOOKUP(Table3[[#This Row],[Location ]], Table1[Location],Table1[SVG Location],0,0)</f>
        <v>DH_400</v>
      </c>
      <c r="G401" s="3" t="s">
        <v>1617</v>
      </c>
    </row>
    <row r="402" spans="1:7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tr">
        <f>_xlfn.XLOOKUP(Table3[[#This Row],[Location ]],Table1[Location],Table1[Oracle Location],0,0)</f>
        <v>MTY 1, MTY1</v>
      </c>
      <c r="F402" s="3" t="str">
        <f>_xlfn.XLOOKUP(Table3[[#This Row],[Location ]], Table1[Location],Table1[SVG Location],0,0)</f>
        <v>Warehouse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tr">
        <f>_xlfn.XLOOKUP(Table3[[#This Row],[Location ]],Table1[Location],Table1[Oracle Location],0,0)</f>
        <v>MTY 1, MTY1</v>
      </c>
      <c r="F403" s="3" t="str">
        <f>_xlfn.XLOOKUP(Table3[[#This Row],[Location ]], Table1[Location],Table1[SVG Location],0,0)</f>
        <v>Warehouse</v>
      </c>
      <c r="G403" s="3" t="s">
        <v>1614</v>
      </c>
    </row>
    <row r="404" spans="1:7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tr">
        <f>_xlfn.XLOOKUP(Table3[[#This Row],[Location ]],Table1[Location],Table1[Oracle Location],0,0)</f>
        <v>MTY 1, MTY1</v>
      </c>
      <c r="F404" s="3" t="str">
        <f>_xlfn.XLOOKUP(Table3[[#This Row],[Location ]], Table1[Location],Table1[SVG Location],0,0)</f>
        <v>Warehouse</v>
      </c>
      <c r="G404" s="3" t="s">
        <v>1617</v>
      </c>
    </row>
    <row r="405" spans="1:7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tr">
        <f>_xlfn.XLOOKUP(Table3[[#This Row],[Location ]],Table1[Location],Table1[Oracle Location],0,0)</f>
        <v>MONEP</v>
      </c>
      <c r="F405" s="3" t="str">
        <f>_xlfn.XLOOKUP(Table3[[#This Row],[Location ]], Table1[Location],Table1[SVG Location],0,0)</f>
        <v>EP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tr">
        <f>_xlfn.XLOOKUP(Table3[[#This Row],[Location ]],Table1[Location],Table1[Oracle Location],0,0)</f>
        <v>MONPRE</v>
      </c>
      <c r="F406" s="3" t="str">
        <f>_xlfn.XLOOKUP(Table3[[#This Row],[Location ]], Table1[Location],Table1[SVG Location],0,0)</f>
        <v>PRE_L1</v>
      </c>
      <c r="G406" s="3" t="s">
        <v>1614</v>
      </c>
    </row>
    <row r="407" spans="1:7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tr">
        <f>_xlfn.XLOOKUP(Table3[[#This Row],[Location ]],Table1[Location],Table1[Oracle Location],0,0)</f>
        <v>MONEP</v>
      </c>
      <c r="F407" s="3" t="str">
        <f>_xlfn.XLOOKUP(Table3[[#This Row],[Location ]], Table1[Location],Table1[SVG Location],0,0)</f>
        <v>EP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tr">
        <f>_xlfn.XLOOKUP(Table3[[#This Row],[Location ]],Table1[Location],Table1[Oracle Location],0,0)</f>
        <v>MONXDU</v>
      </c>
      <c r="F408" s="3" t="str">
        <f>_xlfn.XLOOKUP(Table3[[#This Row],[Location ]], Table1[Location],Table1[SVG Location],0,0)</f>
        <v>XDU_1350</v>
      </c>
      <c r="G408" s="3" t="s">
        <v>1614</v>
      </c>
    </row>
    <row r="409" spans="1:7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tr">
        <f>_xlfn.XLOOKUP(Table3[[#This Row],[Location ]],Table1[Location],Table1[Oracle Location],0,0)</f>
        <v>MONDA</v>
      </c>
      <c r="F409" s="3" t="str">
        <f>_xlfn.XLOOKUP(Table3[[#This Row],[Location ]], Table1[Location],Table1[SVG Location],0,0)</f>
        <v>MONDA</v>
      </c>
      <c r="G409" s="3" t="s">
        <v>1615</v>
      </c>
    </row>
    <row r="410" spans="1:7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tr">
        <f>_xlfn.XLOOKUP(Table3[[#This Row],[Location ]],Table1[Location],Table1[Oracle Location],0,0)</f>
        <v>MONPIPING</v>
      </c>
      <c r="F410" s="3" t="str">
        <f>_xlfn.XLOOKUP(Table3[[#This Row],[Location ]], Table1[Location],Table1[SVG Location],0,0)</f>
        <v>Piping</v>
      </c>
      <c r="G410" s="3" t="s">
        <v>1615</v>
      </c>
    </row>
    <row r="411" spans="1:7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tr">
        <f>_xlfn.XLOOKUP(Table3[[#This Row],[Location ]],Table1[Location],Table1[Oracle Location],0,0)</f>
        <v>MONXDU</v>
      </c>
      <c r="F411" s="3" t="str">
        <f>_xlfn.XLOOKUP(Table3[[#This Row],[Location ]], Table1[Location],Table1[SVG Location],0,0)</f>
        <v>XDU_1350</v>
      </c>
      <c r="G411" s="3" t="s">
        <v>1617</v>
      </c>
    </row>
    <row r="412" spans="1:7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tr">
        <f>_xlfn.XLOOKUP(Table3[[#This Row],[Location ]],Table1[Location],Table1[Oracle Location],0,0)</f>
        <v>MTY 1, MTY1</v>
      </c>
      <c r="F412" s="3" t="str">
        <f>_xlfn.XLOOKUP(Table3[[#This Row],[Location ]], Table1[Location],Table1[SVG Location],0,0)</f>
        <v>Warehouse</v>
      </c>
      <c r="G412" s="3" t="s">
        <v>1613</v>
      </c>
    </row>
    <row r="413" spans="1:7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tr">
        <f>_xlfn.XLOOKUP(Table3[[#This Row],[Location ]],Table1[Location],Table1[Oracle Location],0,0)</f>
        <v>MONDA</v>
      </c>
      <c r="F413" s="3" t="str">
        <f>_xlfn.XLOOKUP(Table3[[#This Row],[Location ]], Table1[Location],Table1[SVG Location],0,0)</f>
        <v>MONDA</v>
      </c>
      <c r="G413" s="3" t="s">
        <v>1617</v>
      </c>
    </row>
    <row r="414" spans="1:7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tr">
        <f>_xlfn.XLOOKUP(Table3[[#This Row],[Location ]],Table1[Location],Table1[Oracle Location],0,0)</f>
        <v>MONMC</v>
      </c>
      <c r="F414" s="3" t="str">
        <f>_xlfn.XLOOKUP(Table3[[#This Row],[Location ]], Table1[Location],Table1[SVG Location],0,0)</f>
        <v>MC</v>
      </c>
      <c r="G414" s="3" t="s">
        <v>1617</v>
      </c>
    </row>
    <row r="415" spans="1:7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tr">
        <f>_xlfn.XLOOKUP(Table3[[#This Row],[Location ]],Table1[Location],Table1[Oracle Location],0,0)</f>
        <v>MONBLW</v>
      </c>
      <c r="F415" s="3" t="str">
        <f>_xlfn.XLOOKUP(Table3[[#This Row],[Location ]], Table1[Location],Table1[SVG Location],0,0)</f>
        <v>Blower</v>
      </c>
      <c r="G415" s="3" t="s">
        <v>1615</v>
      </c>
    </row>
    <row r="416" spans="1:7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tr">
        <f>_xlfn.XLOOKUP(Table3[[#This Row],[Location ]],Table1[Location],Table1[Oracle Location],0,0)</f>
        <v>MONXDU</v>
      </c>
      <c r="F416" s="3" t="str">
        <f>_xlfn.XLOOKUP(Table3[[#This Row],[Location ]], Table1[Location],Table1[SVG Location],0,0)</f>
        <v>XDU_1350</v>
      </c>
      <c r="G416" s="3" t="s">
        <v>1617</v>
      </c>
    </row>
    <row r="417" spans="1:7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tr">
        <f>_xlfn.XLOOKUP(Table3[[#This Row],[Location ]],Table1[Location],Table1[Oracle Location],0,0)</f>
        <v>MONDP</v>
      </c>
      <c r="F417" s="3" t="str">
        <f>_xlfn.XLOOKUP(Table3[[#This Row],[Location ]], Table1[Location],Table1[SVG Location],0,0)</f>
        <v>DH_400</v>
      </c>
      <c r="G417" s="3" t="s">
        <v>1617</v>
      </c>
    </row>
    <row r="418" spans="1:7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tr">
        <f>_xlfn.XLOOKUP(Table3[[#This Row],[Location ]],Table1[Location],Table1[Oracle Location],0,0)</f>
        <v>MONDP</v>
      </c>
      <c r="F418" s="3" t="str">
        <f>_xlfn.XLOOKUP(Table3[[#This Row],[Location ]], Table1[Location],Table1[SVG Location],0,0)</f>
        <v>DH_400</v>
      </c>
      <c r="G418" s="3" t="s">
        <v>1615</v>
      </c>
    </row>
    <row r="419" spans="1:7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tr">
        <f>_xlfn.XLOOKUP(Table3[[#This Row],[Location ]],Table1[Location],Table1[Oracle Location],0,0)</f>
        <v>MONEP</v>
      </c>
      <c r="F419" s="3" t="str">
        <f>_xlfn.XLOOKUP(Table3[[#This Row],[Location ]], Table1[Location],Table1[SVG Location],0,0)</f>
        <v>EP</v>
      </c>
      <c r="G419" s="3" t="s">
        <v>1615</v>
      </c>
    </row>
    <row r="420" spans="1:7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tr">
        <f>_xlfn.XLOOKUP(Table3[[#This Row],[Location ]],Table1[Location],Table1[Oracle Location],0,0)</f>
        <v>MONDA</v>
      </c>
      <c r="F420" s="3" t="str">
        <f>_xlfn.XLOOKUP(Table3[[#This Row],[Location ]], Table1[Location],Table1[SVG Location],0,0)</f>
        <v>MONDA</v>
      </c>
      <c r="G420" s="3" t="s">
        <v>1617</v>
      </c>
    </row>
    <row r="421" spans="1:7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tr">
        <f>_xlfn.XLOOKUP(Table3[[#This Row],[Location ]],Table1[Location],Table1[Oracle Location],0,0)</f>
        <v>MONXDU</v>
      </c>
      <c r="F421" s="3" t="str">
        <f>_xlfn.XLOOKUP(Table3[[#This Row],[Location ]], Table1[Location],Table1[SVG Location],0,0)</f>
        <v>XDU_1350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tr">
        <f>_xlfn.XLOOKUP(Table3[[#This Row],[Location ]],Table1[Location],Table1[Oracle Location],0,0)</f>
        <v>MONEP</v>
      </c>
      <c r="F422" s="3" t="str">
        <f>_xlfn.XLOOKUP(Table3[[#This Row],[Location ]], Table1[Location],Table1[SVG Location],0,0)</f>
        <v>EP</v>
      </c>
      <c r="G422" s="3" t="s">
        <v>1614</v>
      </c>
    </row>
    <row r="423" spans="1:7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tr">
        <f>_xlfn.XLOOKUP(Table3[[#This Row],[Location ]],Table1[Location],Table1[Oracle Location],0,0)</f>
        <v>MONEP</v>
      </c>
      <c r="F423" s="3" t="str">
        <f>_xlfn.XLOOKUP(Table3[[#This Row],[Location ]], Table1[Location],Table1[SVG Location],0,0)</f>
        <v>EP</v>
      </c>
      <c r="G423" s="3" t="s">
        <v>1617</v>
      </c>
    </row>
    <row r="424" spans="1:7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tr">
        <f>_xlfn.XLOOKUP(Table3[[#This Row],[Location ]],Table1[Location],Table1[Oracle Location],0,0)</f>
        <v>MONDP</v>
      </c>
      <c r="F424" s="3" t="str">
        <f>_xlfn.XLOOKUP(Table3[[#This Row],[Location ]], Table1[Location],Table1[SVG Location],0,0)</f>
        <v>DH_400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tr">
        <f>_xlfn.XLOOKUP(Table3[[#This Row],[Location ]],Table1[Location],Table1[Oracle Location],0,0)</f>
        <v>MONXDM</v>
      </c>
      <c r="F425" s="3" t="str">
        <f>_xlfn.XLOOKUP(Table3[[#This Row],[Location ]], Table1[Location],Table1[SVG Location],0,0)</f>
        <v>XDM</v>
      </c>
      <c r="G425" s="3" t="s">
        <v>1614</v>
      </c>
    </row>
    <row r="426" spans="1:7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tr">
        <f>_xlfn.XLOOKUP(Table3[[#This Row],[Location ]],Table1[Location],Table1[Oracle Location],0,0)</f>
        <v>MONSKID</v>
      </c>
      <c r="F426" s="3" t="str">
        <f>_xlfn.XLOOKUP(Table3[[#This Row],[Location ]], Table1[Location],Table1[SVG Location],0,0)</f>
        <v>SKID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tr">
        <f>_xlfn.XLOOKUP(Table3[[#This Row],[Location ]],Table1[Location],Table1[Oracle Location],0,0)</f>
        <v>SHIP</v>
      </c>
      <c r="F427" s="3" t="str">
        <f>_xlfn.XLOOKUP(Table3[[#This Row],[Location ]], Table1[Location],Table1[SVG Location],0,0)</f>
        <v>SHIP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tr">
        <f>_xlfn.XLOOKUP(Table3[[#This Row],[Location ]],Table1[Location],Table1[Oracle Location],0,0)</f>
        <v>MON-AFC</v>
      </c>
      <c r="F428" s="3" t="str">
        <f>_xlfn.XLOOKUP(Table3[[#This Row],[Location ]], Table1[Location],Table1[SVG Location],0,0)</f>
        <v>AFC</v>
      </c>
      <c r="G428" s="3" t="s">
        <v>1614</v>
      </c>
    </row>
    <row r="429" spans="1:7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tr">
        <f>_xlfn.XLOOKUP(Table3[[#This Row],[Location ]],Table1[Location],Table1[Oracle Location],0,0)</f>
        <v>SHIP</v>
      </c>
      <c r="F429" s="3" t="str">
        <f>_xlfn.XLOOKUP(Table3[[#This Row],[Location ]], Table1[Location],Table1[SVG Location],0,0)</f>
        <v>SHIP</v>
      </c>
      <c r="G429" s="3" t="s">
        <v>1617</v>
      </c>
    </row>
    <row r="430" spans="1:7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tr">
        <f>_xlfn.XLOOKUP(Table3[[#This Row],[Location ]],Table1[Location],Table1[Oracle Location],0,0)</f>
        <v>MONPIPING</v>
      </c>
      <c r="F430" s="3" t="str">
        <f>_xlfn.XLOOKUP(Table3[[#This Row],[Location ]], Table1[Location],Table1[SVG Location],0,0)</f>
        <v>Piping</v>
      </c>
      <c r="G430" s="3" t="s">
        <v>1617</v>
      </c>
    </row>
    <row r="431" spans="1:7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tr">
        <f>_xlfn.XLOOKUP(Table3[[#This Row],[Location ]],Table1[Location],Table1[Oracle Location],0,0)</f>
        <v>MONEP</v>
      </c>
      <c r="F431" s="3" t="str">
        <f>_xlfn.XLOOKUP(Table3[[#This Row],[Location ]], Table1[Location],Table1[SVG Location],0,0)</f>
        <v>EP</v>
      </c>
      <c r="G431" s="3" t="s">
        <v>1615</v>
      </c>
    </row>
    <row r="432" spans="1:7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tr">
        <f>_xlfn.XLOOKUP(Table3[[#This Row],[Location ]],Table1[Location],Table1[Oracle Location],0,0)</f>
        <v>MONCOILS</v>
      </c>
      <c r="F432" s="3" t="str">
        <f>_xlfn.XLOOKUP(Table3[[#This Row],[Location ]], Table1[Location],Table1[SVG Location],0,0)</f>
        <v>Coils_Shop</v>
      </c>
      <c r="G432" s="3" t="s">
        <v>1617</v>
      </c>
    </row>
    <row r="433" spans="1:7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tr">
        <f>_xlfn.XLOOKUP(Table3[[#This Row],[Location ]],Table1[Location],Table1[Oracle Location],0,0)</f>
        <v>MONKITS</v>
      </c>
      <c r="F433" s="3" t="str">
        <f>_xlfn.XLOOKUP(Table3[[#This Row],[Location ]], Table1[Location],Table1[SVG Location],0,0)</f>
        <v>Kits</v>
      </c>
      <c r="G433" s="3" t="s">
        <v>1617</v>
      </c>
    </row>
    <row r="434" spans="1:7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tr">
        <f>_xlfn.XLOOKUP(Table3[[#This Row],[Location ]],Table1[Location],Table1[Oracle Location],0,0)</f>
        <v>MONEP</v>
      </c>
      <c r="F434" s="3" t="str">
        <f>_xlfn.XLOOKUP(Table3[[#This Row],[Location ]], Table1[Location],Table1[SVG Location],0,0)</f>
        <v>EP</v>
      </c>
      <c r="G434" s="3" t="s">
        <v>1615</v>
      </c>
    </row>
    <row r="435" spans="1:7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tr">
        <f>_xlfn.XLOOKUP(Table3[[#This Row],[Location ]],Table1[Location],Table1[Oracle Location],0,0)</f>
        <v>MONXDU</v>
      </c>
      <c r="F435" s="3" t="str">
        <f>_xlfn.XLOOKUP(Table3[[#This Row],[Location ]], Table1[Location],Table1[SVG Location],0,0)</f>
        <v>XDU_1350</v>
      </c>
      <c r="G435" s="3" t="s">
        <v>1617</v>
      </c>
    </row>
    <row r="436" spans="1:7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tr">
        <f>_xlfn.XLOOKUP(Table3[[#This Row],[Location ]],Table1[Location],Table1[Oracle Location],0,0)</f>
        <v>MONDP</v>
      </c>
      <c r="F436" s="3" t="str">
        <f>_xlfn.XLOOKUP(Table3[[#This Row],[Location ]], Table1[Location],Table1[SVG Location],0,0)</f>
        <v>DH_400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tr">
        <f>_xlfn.XLOOKUP(Table3[[#This Row],[Location ]],Table1[Location],Table1[Oracle Location],0,0)</f>
        <v>MTY 1, MTY1</v>
      </c>
      <c r="F437" s="3" t="str">
        <f>_xlfn.XLOOKUP(Table3[[#This Row],[Location ]], Table1[Location],Table1[SVG Location],0,0)</f>
        <v>Warehouse</v>
      </c>
      <c r="G437" s="3" t="s">
        <v>1614</v>
      </c>
    </row>
    <row r="438" spans="1:7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tr">
        <f>_xlfn.XLOOKUP(Table3[[#This Row],[Location ]],Table1[Location],Table1[Oracle Location],0,0)</f>
        <v>MONDP</v>
      </c>
      <c r="F438" s="3" t="str">
        <f>_xlfn.XLOOKUP(Table3[[#This Row],[Location ]], Table1[Location],Table1[SVG Location],0,0)</f>
        <v>DH_400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tr">
        <f>_xlfn.XLOOKUP(Table3[[#This Row],[Location ]],Table1[Location],Table1[Oracle Location],0,0)</f>
        <v>ALL</v>
      </c>
      <c r="F439" s="3" t="str">
        <f>_xlfn.XLOOKUP(Table3[[#This Row],[Location ]], Table1[Location],Table1[SVG Location],0,0)</f>
        <v>ALL</v>
      </c>
      <c r="G439" s="3" t="s">
        <v>1614</v>
      </c>
    </row>
    <row r="440" spans="1:7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tr">
        <f>_xlfn.XLOOKUP(Table3[[#This Row],[Location ]],Table1[Location],Table1[Oracle Location],0,0)</f>
        <v>SHIP</v>
      </c>
      <c r="F440" s="3" t="str">
        <f>_xlfn.XLOOKUP(Table3[[#This Row],[Location ]], Table1[Location],Table1[SVG Location],0,0)</f>
        <v>SHIP</v>
      </c>
      <c r="G440" s="3" t="s">
        <v>1617</v>
      </c>
    </row>
    <row r="441" spans="1:7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tr">
        <f>_xlfn.XLOOKUP(Table3[[#This Row],[Location ]],Table1[Location],Table1[Oracle Location],0,0)</f>
        <v>MONCR</v>
      </c>
      <c r="F441" s="3" t="str">
        <f>_xlfn.XLOOKUP(Table3[[#This Row],[Location ]], Table1[Location],Table1[SVG Location],0,0)</f>
        <v>CR</v>
      </c>
      <c r="G441" s="3" t="s">
        <v>1617</v>
      </c>
    </row>
    <row r="442" spans="1:7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tr">
        <f>_xlfn.XLOOKUP(Table3[[#This Row],[Location ]],Table1[Location],Table1[Oracle Location],0,0)</f>
        <v>MONXDU100</v>
      </c>
      <c r="F442" s="3" t="str">
        <f>_xlfn.XLOOKUP(Table3[[#This Row],[Location ]], Table1[Location],Table1[SVG Location],0,0)</f>
        <v>XDU_100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tr">
        <f>_xlfn.XLOOKUP(Table3[[#This Row],[Location ]],Table1[Location],Table1[Oracle Location],0,0)</f>
        <v>MTY3</v>
      </c>
      <c r="F443" s="3" t="str">
        <f>_xlfn.XLOOKUP(Table3[[#This Row],[Location ]], Table1[Location],Table1[SVG Location],0,0)</f>
        <v>MTY3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tr">
        <f>_xlfn.XLOOKUP(Table3[[#This Row],[Location ]],Table1[Location],Table1[Oracle Location],0,0)</f>
        <v>MONBLW</v>
      </c>
      <c r="F444" s="3" t="str">
        <f>_xlfn.XLOOKUP(Table3[[#This Row],[Location ]], Table1[Location],Table1[SVG Location],0,0)</f>
        <v>Blower</v>
      </c>
      <c r="G444" s="3" t="s">
        <v>1614</v>
      </c>
    </row>
    <row r="445" spans="1:7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tr">
        <f>_xlfn.XLOOKUP(Table3[[#This Row],[Location ]],Table1[Location],Table1[Oracle Location],0,0)</f>
        <v>MONDP</v>
      </c>
      <c r="F445" s="3" t="str">
        <f>_xlfn.XLOOKUP(Table3[[#This Row],[Location ]], Table1[Location],Table1[SVG Location],0,0)</f>
        <v>DH_400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tr">
        <f>_xlfn.XLOOKUP(Table3[[#This Row],[Location ]],Table1[Location],Table1[Oracle Location],0,0)</f>
        <v>ALL</v>
      </c>
      <c r="F446" s="3" t="str">
        <f>_xlfn.XLOOKUP(Table3[[#This Row],[Location ]], Table1[Location],Table1[SVG Location],0,0)</f>
        <v>ALL</v>
      </c>
      <c r="G446" s="3">
        <v>0</v>
      </c>
    </row>
    <row r="447" spans="1:7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tr">
        <f>_xlfn.XLOOKUP(Table3[[#This Row],[Location ]],Table1[Location],Table1[Oracle Location],0,0)</f>
        <v>MONEP</v>
      </c>
      <c r="F447" s="3" t="str">
        <f>_xlfn.XLOOKUP(Table3[[#This Row],[Location ]], Table1[Location],Table1[SVG Location],0,0)</f>
        <v>EP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tr">
        <f>_xlfn.XLOOKUP(Table3[[#This Row],[Location ]],Table1[Location],Table1[Oracle Location],0,0)</f>
        <v>MON-AFC</v>
      </c>
      <c r="F448" s="3" t="str">
        <f>_xlfn.XLOOKUP(Table3[[#This Row],[Location ]], Table1[Location],Table1[SVG Location],0,0)</f>
        <v>AFC</v>
      </c>
      <c r="G448" s="3" t="s">
        <v>1614</v>
      </c>
    </row>
    <row r="449" spans="1:7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tr">
        <f>_xlfn.XLOOKUP(Table3[[#This Row],[Location ]],Table1[Location],Table1[Oracle Location],0,0)</f>
        <v>MONMC</v>
      </c>
      <c r="F449" s="3" t="str">
        <f>_xlfn.XLOOKUP(Table3[[#This Row],[Location ]], Table1[Location],Table1[SVG Location],0,0)</f>
        <v>MC</v>
      </c>
      <c r="G449" s="3" t="s">
        <v>1615</v>
      </c>
    </row>
    <row r="450" spans="1:7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tr">
        <f>_xlfn.XLOOKUP(Table3[[#This Row],[Location ]],Table1[Location],Table1[Oracle Location],0,0)</f>
        <v>MONDP</v>
      </c>
      <c r="F450" s="3" t="str">
        <f>_xlfn.XLOOKUP(Table3[[#This Row],[Location ]], Table1[Location],Table1[SVG Location],0,0)</f>
        <v>DH_400</v>
      </c>
      <c r="G450" s="3" t="s">
        <v>1613</v>
      </c>
    </row>
    <row r="451" spans="1:7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tr">
        <f>_xlfn.XLOOKUP(Table3[[#This Row],[Location ]],Table1[Location],Table1[Oracle Location],0,0)</f>
        <v>MONMC</v>
      </c>
      <c r="F451" s="3" t="str">
        <f>_xlfn.XLOOKUP(Table3[[#This Row],[Location ]], Table1[Location],Table1[SVG Location],0,0)</f>
        <v>MC</v>
      </c>
      <c r="G451" s="3" t="s">
        <v>1615</v>
      </c>
    </row>
    <row r="452" spans="1:7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tr">
        <f>_xlfn.XLOOKUP(Table3[[#This Row],[Location ]],Table1[Location],Table1[Oracle Location],0,0)</f>
        <v>MONMC</v>
      </c>
      <c r="F452" s="3" t="str">
        <f>_xlfn.XLOOKUP(Table3[[#This Row],[Location ]], Table1[Location],Table1[SVG Location],0,0)</f>
        <v>MC</v>
      </c>
      <c r="G452" s="3" t="s">
        <v>1617</v>
      </c>
    </row>
    <row r="453" spans="1:7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tr">
        <f>_xlfn.XLOOKUP(Table3[[#This Row],[Location ]],Table1[Location],Table1[Oracle Location],0,0)</f>
        <v>MONDP</v>
      </c>
      <c r="F453" s="3" t="str">
        <f>_xlfn.XLOOKUP(Table3[[#This Row],[Location ]], Table1[Location],Table1[SVG Location],0,0)</f>
        <v>DH_400</v>
      </c>
      <c r="G453" s="3" t="s">
        <v>1617</v>
      </c>
    </row>
    <row r="454" spans="1:7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tr">
        <f>_xlfn.XLOOKUP(Table3[[#This Row],[Location ]],Table1[Location],Table1[Oracle Location],0,0)</f>
        <v>MTY 1, MTY1</v>
      </c>
      <c r="F454" s="3" t="str">
        <f>_xlfn.XLOOKUP(Table3[[#This Row],[Location ]], Table1[Location],Table1[SVG Location],0,0)</f>
        <v>Warehouse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tr">
        <f>_xlfn.XLOOKUP(Table3[[#This Row],[Location ]],Table1[Location],Table1[Oracle Location],0,0)</f>
        <v>MTY3</v>
      </c>
      <c r="F455" s="3" t="str">
        <f>_xlfn.XLOOKUP(Table3[[#This Row],[Location ]], Table1[Location],Table1[SVG Location],0,0)</f>
        <v>MTY3</v>
      </c>
      <c r="G455" s="3">
        <v>0</v>
      </c>
    </row>
    <row r="456" spans="1:7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tr">
        <f>_xlfn.XLOOKUP(Table3[[#This Row],[Location ]],Table1[Location],Table1[Oracle Location],0,0)</f>
        <v>MONEP</v>
      </c>
      <c r="F456" s="3" t="str">
        <f>_xlfn.XLOOKUP(Table3[[#This Row],[Location ]], Table1[Location],Table1[SVG Location],0,0)</f>
        <v>EP</v>
      </c>
      <c r="G456" s="3" t="s">
        <v>1615</v>
      </c>
    </row>
    <row r="457" spans="1:7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tr">
        <f>_xlfn.XLOOKUP(Table3[[#This Row],[Location ]],Table1[Location],Table1[Oracle Location],0,0)</f>
        <v>MONCOILS</v>
      </c>
      <c r="F457" s="3" t="str">
        <f>_xlfn.XLOOKUP(Table3[[#This Row],[Location ]], Table1[Location],Table1[SVG Location],0,0)</f>
        <v>Coils_Shop</v>
      </c>
      <c r="G457" s="3" t="s">
        <v>1615</v>
      </c>
    </row>
    <row r="458" spans="1:7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tr">
        <f>_xlfn.XLOOKUP(Table3[[#This Row],[Location ]],Table1[Location],Table1[Oracle Location],0,0)</f>
        <v>MONDP</v>
      </c>
      <c r="F458" s="3" t="str">
        <f>_xlfn.XLOOKUP(Table3[[#This Row],[Location ]], Table1[Location],Table1[SVG Location],0,0)</f>
        <v>DH_400</v>
      </c>
      <c r="G458" s="3" t="s">
        <v>1615</v>
      </c>
    </row>
    <row r="459" spans="1:7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tr">
        <f>_xlfn.XLOOKUP(Table3[[#This Row],[Location ]],Table1[Location],Table1[Oracle Location],0,0)</f>
        <v>MONDP</v>
      </c>
      <c r="F459" s="3" t="str">
        <f>_xlfn.XLOOKUP(Table3[[#This Row],[Location ]], Table1[Location],Table1[SVG Location],0,0)</f>
        <v>DH_400</v>
      </c>
      <c r="G459" s="3" t="s">
        <v>1613</v>
      </c>
    </row>
    <row r="460" spans="1:7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tr">
        <f>_xlfn.XLOOKUP(Table3[[#This Row],[Location ]],Table1[Location],Table1[Oracle Location],0,0)</f>
        <v>MONCR</v>
      </c>
      <c r="F460" s="3" t="str">
        <f>_xlfn.XLOOKUP(Table3[[#This Row],[Location ]], Table1[Location],Table1[SVG Location],0,0)</f>
        <v>CR</v>
      </c>
      <c r="G460" s="3" t="s">
        <v>1615</v>
      </c>
    </row>
    <row r="461" spans="1:7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tr">
        <f>_xlfn.XLOOKUP(Table3[[#This Row],[Location ]],Table1[Location],Table1[Oracle Location],0,0)</f>
        <v>MONEP</v>
      </c>
      <c r="F461" s="3" t="str">
        <f>_xlfn.XLOOKUP(Table3[[#This Row],[Location ]], Table1[Location],Table1[SVG Location],0,0)</f>
        <v>EP</v>
      </c>
      <c r="G461" s="3" t="s">
        <v>1617</v>
      </c>
    </row>
    <row r="462" spans="1:7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tr">
        <f>_xlfn.XLOOKUP(Table3[[#This Row],[Location ]],Table1[Location],Table1[Oracle Location],0,0)</f>
        <v>MONXDU</v>
      </c>
      <c r="F462" s="3" t="str">
        <f>_xlfn.XLOOKUP(Table3[[#This Row],[Location ]], Table1[Location],Table1[SVG Location],0,0)</f>
        <v>XDU_1350</v>
      </c>
      <c r="G462" s="3" t="s">
        <v>1615</v>
      </c>
    </row>
    <row r="463" spans="1:7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tr">
        <f>_xlfn.XLOOKUP(Table3[[#This Row],[Location ]],Table1[Location],Table1[Oracle Location],0,0)</f>
        <v>MONDP</v>
      </c>
      <c r="F463" s="3" t="str">
        <f>_xlfn.XLOOKUP(Table3[[#This Row],[Location ]], Table1[Location],Table1[SVG Location],0,0)</f>
        <v>DH_400</v>
      </c>
      <c r="G463" s="3" t="s">
        <v>1615</v>
      </c>
    </row>
    <row r="464" spans="1:7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tr">
        <f>_xlfn.XLOOKUP(Table3[[#This Row],[Location ]],Table1[Location],Table1[Oracle Location],0,0)</f>
        <v>MONMC</v>
      </c>
      <c r="F464" s="3" t="str">
        <f>_xlfn.XLOOKUP(Table3[[#This Row],[Location ]], Table1[Location],Table1[SVG Location],0,0)</f>
        <v>MC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tr">
        <f>_xlfn.XLOOKUP(Table3[[#This Row],[Location ]],Table1[Location],Table1[Oracle Location],0,0)</f>
        <v>ALL</v>
      </c>
      <c r="F465" s="3" t="str">
        <f>_xlfn.XLOOKUP(Table3[[#This Row],[Location ]], Table1[Location],Table1[SVG Location],0,0)</f>
        <v>ALL</v>
      </c>
      <c r="G465" s="3" t="s">
        <v>1616</v>
      </c>
    </row>
    <row r="466" spans="1:7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tr">
        <f>_xlfn.XLOOKUP(Table3[[#This Row],[Location ]],Table1[Location],Table1[Oracle Location],0,0)</f>
        <v>MONMC</v>
      </c>
      <c r="F466" s="3" t="str">
        <f>_xlfn.XLOOKUP(Table3[[#This Row],[Location ]], Table1[Location],Table1[SVG Location],0,0)</f>
        <v>MC</v>
      </c>
      <c r="G466" s="3" t="s">
        <v>1617</v>
      </c>
    </row>
    <row r="467" spans="1:7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tr">
        <f>_xlfn.XLOOKUP(Table3[[#This Row],[Location ]],Table1[Location],Table1[Oracle Location],0,0)</f>
        <v>MONDP</v>
      </c>
      <c r="F467" s="3" t="str">
        <f>_xlfn.XLOOKUP(Table3[[#This Row],[Location ]], Table1[Location],Table1[SVG Location],0,0)</f>
        <v>DH_400</v>
      </c>
      <c r="G467" s="3" t="s">
        <v>1615</v>
      </c>
    </row>
    <row r="468" spans="1:7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tr">
        <f>_xlfn.XLOOKUP(Table3[[#This Row],[Location ]],Table1[Location],Table1[Oracle Location],0,0)</f>
        <v>MONXDU100</v>
      </c>
      <c r="F468" s="3" t="str">
        <f>_xlfn.XLOOKUP(Table3[[#This Row],[Location ]], Table1[Location],Table1[SVG Location],0,0)</f>
        <v>XDU_100</v>
      </c>
      <c r="G468" s="3" t="s">
        <v>1613</v>
      </c>
    </row>
    <row r="469" spans="1:7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tr">
        <f>_xlfn.XLOOKUP(Table3[[#This Row],[Location ]],Table1[Location],Table1[Oracle Location],0,0)</f>
        <v>MONEP</v>
      </c>
      <c r="F469" s="3" t="str">
        <f>_xlfn.XLOOKUP(Table3[[#This Row],[Location ]], Table1[Location],Table1[SVG Location],0,0)</f>
        <v>EP</v>
      </c>
      <c r="G469" s="3" t="s">
        <v>1615</v>
      </c>
    </row>
    <row r="470" spans="1:7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tr">
        <f>_xlfn.XLOOKUP(Table3[[#This Row],[Location ]],Table1[Location],Table1[Oracle Location],0,0)</f>
        <v>MONCOILS</v>
      </c>
      <c r="F470" s="3" t="str">
        <f>_xlfn.XLOOKUP(Table3[[#This Row],[Location ]], Table1[Location],Table1[SVG Location],0,0)</f>
        <v>Coils_Shop</v>
      </c>
      <c r="G470" s="3" t="s">
        <v>1613</v>
      </c>
    </row>
    <row r="471" spans="1:7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tr">
        <f>_xlfn.XLOOKUP(Table3[[#This Row],[Location ]],Table1[Location],Table1[Oracle Location],0,0)</f>
        <v>MONXDU</v>
      </c>
      <c r="F471" s="3" t="str">
        <f>_xlfn.XLOOKUP(Table3[[#This Row],[Location ]], Table1[Location],Table1[SVG Location],0,0)</f>
        <v>XDU_1350</v>
      </c>
      <c r="G471" s="3" t="s">
        <v>1615</v>
      </c>
    </row>
    <row r="472" spans="1:7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tr">
        <f>_xlfn.XLOOKUP(Table3[[#This Row],[Location ]],Table1[Location],Table1[Oracle Location],0,0)</f>
        <v>MONDP</v>
      </c>
      <c r="F472" s="3" t="str">
        <f>_xlfn.XLOOKUP(Table3[[#This Row],[Location ]], Table1[Location],Table1[SVG Location],0,0)</f>
        <v>DH_400</v>
      </c>
      <c r="G472" s="3" t="s">
        <v>1615</v>
      </c>
    </row>
    <row r="473" spans="1:7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tr">
        <f>_xlfn.XLOOKUP(Table3[[#This Row],[Location ]],Table1[Location],Table1[Oracle Location],0,0)</f>
        <v>MONEP</v>
      </c>
      <c r="F473" s="3" t="str">
        <f>_xlfn.XLOOKUP(Table3[[#This Row],[Location ]], Table1[Location],Table1[SVG Location],0,0)</f>
        <v>EP</v>
      </c>
      <c r="G473" s="3" t="s">
        <v>1613</v>
      </c>
    </row>
    <row r="474" spans="1:7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tr">
        <f>_xlfn.XLOOKUP(Table3[[#This Row],[Location ]],Table1[Location],Table1[Oracle Location],0,0)</f>
        <v>MONXDU</v>
      </c>
      <c r="F474" s="3" t="str">
        <f>_xlfn.XLOOKUP(Table3[[#This Row],[Location ]], Table1[Location],Table1[SVG Location],0,0)</f>
        <v>XDU_1350</v>
      </c>
      <c r="G474" s="3" t="s">
        <v>1613</v>
      </c>
    </row>
    <row r="475" spans="1:7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tr">
        <f>_xlfn.XLOOKUP(Table3[[#This Row],[Location ]],Table1[Location],Table1[Oracle Location],0,0)</f>
        <v>MONXDU</v>
      </c>
      <c r="F475" s="3" t="str">
        <f>_xlfn.XLOOKUP(Table3[[#This Row],[Location ]], Table1[Location],Table1[SVG Location],0,0)</f>
        <v>XDU_1350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tr">
        <f>_xlfn.XLOOKUP(Table3[[#This Row],[Location ]],Table1[Location],Table1[Oracle Location],0,0)</f>
        <v>MONCOILS</v>
      </c>
      <c r="F476" s="3" t="str">
        <f>_xlfn.XLOOKUP(Table3[[#This Row],[Location ]], Table1[Location],Table1[SVG Location],0,0)</f>
        <v>Coils_Shop</v>
      </c>
      <c r="G476" s="3" t="s">
        <v>1614</v>
      </c>
    </row>
    <row r="477" spans="1:7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tr">
        <f>_xlfn.XLOOKUP(Table3[[#This Row],[Location ]],Table1[Location],Table1[Oracle Location],0,0)</f>
        <v>MONPIPING</v>
      </c>
      <c r="F477" s="3" t="str">
        <f>_xlfn.XLOOKUP(Table3[[#This Row],[Location ]], Table1[Location],Table1[SVG Location],0,0)</f>
        <v>Piping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f>_xlfn.XLOOKUP(Table3[[#This Row],[Location ]],Table1[Location],Table1[Oracle Location],0,0)</f>
        <v>0</v>
      </c>
      <c r="F478" s="3">
        <f>_xlfn.XLOOKUP(Table3[[#This Row],[Location ]], Table1[Location],Table1[SVG Location],0,0)</f>
        <v>0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tr">
        <f>_xlfn.XLOOKUP(Table3[[#This Row],[Location ]],Table1[Location],Table1[Oracle Location],0,0)</f>
        <v>MONEP</v>
      </c>
      <c r="F479" s="3" t="str">
        <f>_xlfn.XLOOKUP(Table3[[#This Row],[Location ]], Table1[Location],Table1[SVG Location],0,0)</f>
        <v>EP</v>
      </c>
      <c r="G479" s="3" t="s">
        <v>1614</v>
      </c>
    </row>
    <row r="480" spans="1:7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tr">
        <f>_xlfn.XLOOKUP(Table3[[#This Row],[Location ]],Table1[Location],Table1[Oracle Location],0,0)</f>
        <v>MONXDU100</v>
      </c>
      <c r="F480" s="3" t="str">
        <f>_xlfn.XLOOKUP(Table3[[#This Row],[Location ]], Table1[Location],Table1[SVG Location],0,0)</f>
        <v>XDU_100</v>
      </c>
      <c r="G480" s="3" t="s">
        <v>1617</v>
      </c>
    </row>
    <row r="481" spans="1:7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tr">
        <f>_xlfn.XLOOKUP(Table3[[#This Row],[Location ]],Table1[Location],Table1[Oracle Location],0,0)</f>
        <v>MONEP</v>
      </c>
      <c r="F481" s="3" t="str">
        <f>_xlfn.XLOOKUP(Table3[[#This Row],[Location ]], Table1[Location],Table1[SVG Location],0,0)</f>
        <v>EP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tr">
        <f>_xlfn.XLOOKUP(Table3[[#This Row],[Location ]],Table1[Location],Table1[Oracle Location],0,0)</f>
        <v>MONDP</v>
      </c>
      <c r="F482" s="3" t="str">
        <f>_xlfn.XLOOKUP(Table3[[#This Row],[Location ]], Table1[Location],Table1[SVG Location],0,0)</f>
        <v>DH_400</v>
      </c>
      <c r="G482" s="3" t="s">
        <v>1616</v>
      </c>
    </row>
    <row r="483" spans="1:7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tr">
        <f>_xlfn.XLOOKUP(Table3[[#This Row],[Location ]],Table1[Location],Table1[Oracle Location],0,0)</f>
        <v>MONXDU</v>
      </c>
      <c r="F483" s="3" t="str">
        <f>_xlfn.XLOOKUP(Table3[[#This Row],[Location ]], Table1[Location],Table1[SVG Location],0,0)</f>
        <v>XDU_1350</v>
      </c>
      <c r="G483" s="3" t="s">
        <v>1613</v>
      </c>
    </row>
    <row r="484" spans="1:7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tr">
        <f>_xlfn.XLOOKUP(Table3[[#This Row],[Location ]],Table1[Location],Table1[Oracle Location],0,0)</f>
        <v>MONXDU</v>
      </c>
      <c r="F484" s="3" t="str">
        <f>_xlfn.XLOOKUP(Table3[[#This Row],[Location ]], Table1[Location],Table1[SVG Location],0,0)</f>
        <v>XDU_1350</v>
      </c>
      <c r="G484" s="3" t="s">
        <v>1617</v>
      </c>
    </row>
    <row r="485" spans="1:7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tr">
        <f>_xlfn.XLOOKUP(Table3[[#This Row],[Location ]],Table1[Location],Table1[Oracle Location],0,0)</f>
        <v>MONEP</v>
      </c>
      <c r="F485" s="3" t="str">
        <f>_xlfn.XLOOKUP(Table3[[#This Row],[Location ]], Table1[Location],Table1[SVG Location],0,0)</f>
        <v>EP</v>
      </c>
      <c r="G485" s="3" t="s">
        <v>1617</v>
      </c>
    </row>
    <row r="486" spans="1:7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tr">
        <f>_xlfn.XLOOKUP(Table3[[#This Row],[Location ]],Table1[Location],Table1[Oracle Location],0,0)</f>
        <v>MTY 1, MTY1</v>
      </c>
      <c r="F486" s="3" t="str">
        <f>_xlfn.XLOOKUP(Table3[[#This Row],[Location ]], Table1[Location],Table1[SVG Location],0,0)</f>
        <v>Warehouse</v>
      </c>
      <c r="G486" s="3" t="s">
        <v>1617</v>
      </c>
    </row>
    <row r="487" spans="1:7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tr">
        <f>_xlfn.XLOOKUP(Table3[[#This Row],[Location ]],Table1[Location],Table1[Oracle Location],0,0)</f>
        <v>MONDP</v>
      </c>
      <c r="F487" s="3" t="str">
        <f>_xlfn.XLOOKUP(Table3[[#This Row],[Location ]], Table1[Location],Table1[SVG Location],0,0)</f>
        <v>DH_400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tr">
        <f>_xlfn.XLOOKUP(Table3[[#This Row],[Location ]],Table1[Location],Table1[Oracle Location],0,0)</f>
        <v>Fastenal</v>
      </c>
      <c r="F488" s="3" t="str">
        <f>_xlfn.XLOOKUP(Table3[[#This Row],[Location ]], Table1[Location],Table1[SVG Location],0,0)</f>
        <v>Fastenal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tr">
        <f>_xlfn.XLOOKUP(Table3[[#This Row],[Location ]],Table1[Location],Table1[Oracle Location],0,0)</f>
        <v>MTY 1, MTY1</v>
      </c>
      <c r="F489" s="3" t="str">
        <f>_xlfn.XLOOKUP(Table3[[#This Row],[Location ]], Table1[Location],Table1[SVG Location],0,0)</f>
        <v>Warehouse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tr">
        <f>_xlfn.XLOOKUP(Table3[[#This Row],[Location ]],Table1[Location],Table1[Oracle Location],0,0)</f>
        <v>MTY3</v>
      </c>
      <c r="F490" s="3" t="str">
        <f>_xlfn.XLOOKUP(Table3[[#This Row],[Location ]], Table1[Location],Table1[SVG Location],0,0)</f>
        <v>MTY3</v>
      </c>
      <c r="G490" s="3" t="s">
        <v>1614</v>
      </c>
    </row>
    <row r="491" spans="1:7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tr">
        <f>_xlfn.XLOOKUP(Table3[[#This Row],[Location ]],Table1[Location],Table1[Oracle Location],0,0)</f>
        <v>MONDP</v>
      </c>
      <c r="F491" s="3" t="str">
        <f>_xlfn.XLOOKUP(Table3[[#This Row],[Location ]], Table1[Location],Table1[SVG Location],0,0)</f>
        <v>DH_400</v>
      </c>
      <c r="G491" s="3" t="s">
        <v>1613</v>
      </c>
    </row>
    <row r="492" spans="1:7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tr">
        <f>_xlfn.XLOOKUP(Table3[[#This Row],[Location ]],Table1[Location],Table1[Oracle Location],0,0)</f>
        <v>MONPIPING</v>
      </c>
      <c r="F492" s="3" t="str">
        <f>_xlfn.XLOOKUP(Table3[[#This Row],[Location ]], Table1[Location],Table1[SVG Location],0,0)</f>
        <v>Piping</v>
      </c>
      <c r="G492" s="3" t="s">
        <v>1617</v>
      </c>
    </row>
    <row r="493" spans="1:7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tr">
        <f>_xlfn.XLOOKUP(Table3[[#This Row],[Location ]],Table1[Location],Table1[Oracle Location],0,0)</f>
        <v>MONDP</v>
      </c>
      <c r="F493" s="3" t="str">
        <f>_xlfn.XLOOKUP(Table3[[#This Row],[Location ]], Table1[Location],Table1[SVG Location],0,0)</f>
        <v>DH_400</v>
      </c>
      <c r="G493" s="3" t="s">
        <v>1613</v>
      </c>
    </row>
    <row r="494" spans="1:7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tr">
        <f>_xlfn.XLOOKUP(Table3[[#This Row],[Location ]],Table1[Location],Table1[Oracle Location],0,0)</f>
        <v>MONSKID</v>
      </c>
      <c r="F494" s="3" t="str">
        <f>_xlfn.XLOOKUP(Table3[[#This Row],[Location ]], Table1[Location],Table1[SVG Location],0,0)</f>
        <v>SKID</v>
      </c>
      <c r="G494" s="3" t="s">
        <v>1617</v>
      </c>
    </row>
    <row r="495" spans="1:7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tr">
        <f>_xlfn.XLOOKUP(Table3[[#This Row],[Location ]],Table1[Location],Table1[Oracle Location],0,0)</f>
        <v>MONCR</v>
      </c>
      <c r="F495" s="3" t="str">
        <f>_xlfn.XLOOKUP(Table3[[#This Row],[Location ]], Table1[Location],Table1[SVG Location],0,0)</f>
        <v>CR</v>
      </c>
      <c r="G495" s="3" t="s">
        <v>1617</v>
      </c>
    </row>
    <row r="496" spans="1:7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tr">
        <f>_xlfn.XLOOKUP(Table3[[#This Row],[Location ]],Table1[Location],Table1[Oracle Location],0,0)</f>
        <v>MONCOILS</v>
      </c>
      <c r="F496" s="3" t="str">
        <f>_xlfn.XLOOKUP(Table3[[#This Row],[Location ]], Table1[Location],Table1[SVG Location],0,0)</f>
        <v>Coils_Shop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tr">
        <f>_xlfn.XLOOKUP(Table3[[#This Row],[Location ]],Table1[Location],Table1[Oracle Location],0,0)</f>
        <v>MONDA</v>
      </c>
      <c r="F497" s="3" t="str">
        <f>_xlfn.XLOOKUP(Table3[[#This Row],[Location ]], Table1[Location],Table1[SVG Location],0,0)</f>
        <v>MONDA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tr">
        <f>_xlfn.XLOOKUP(Table3[[#This Row],[Location ]],Table1[Location],Table1[Oracle Location],0,0)</f>
        <v>MONBLW</v>
      </c>
      <c r="F498" s="3" t="str">
        <f>_xlfn.XLOOKUP(Table3[[#This Row],[Location ]], Table1[Location],Table1[SVG Location],0,0)</f>
        <v>Blower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tr">
        <f>_xlfn.XLOOKUP(Table3[[#This Row],[Location ]],Table1[Location],Table1[Oracle Location],0,0)</f>
        <v>MON-AFC</v>
      </c>
      <c r="F499" s="3" t="str">
        <f>_xlfn.XLOOKUP(Table3[[#This Row],[Location ]], Table1[Location],Table1[SVG Location],0,0)</f>
        <v>AFC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tr">
        <f>_xlfn.XLOOKUP(Table3[[#This Row],[Location ]],Table1[Location],Table1[Oracle Location],0,0)</f>
        <v>MONEP</v>
      </c>
      <c r="F500" s="3" t="str">
        <f>_xlfn.XLOOKUP(Table3[[#This Row],[Location ]], Table1[Location],Table1[SVG Location],0,0)</f>
        <v>EP</v>
      </c>
      <c r="G500" s="3" t="s">
        <v>1614</v>
      </c>
    </row>
    <row r="501" spans="1:7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tr">
        <f>_xlfn.XLOOKUP(Table3[[#This Row],[Location ]],Table1[Location],Table1[Oracle Location],0,0)</f>
        <v>MONCOILS</v>
      </c>
      <c r="F501" s="3" t="str">
        <f>_xlfn.XLOOKUP(Table3[[#This Row],[Location ]], Table1[Location],Table1[SVG Location],0,0)</f>
        <v>Coils_Shop</v>
      </c>
      <c r="G501" s="3" t="s">
        <v>1615</v>
      </c>
    </row>
    <row r="502" spans="1:7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tr">
        <f>_xlfn.XLOOKUP(Table3[[#This Row],[Location ]],Table1[Location],Table1[Oracle Location],0,0)</f>
        <v>MONXDU100</v>
      </c>
      <c r="F502" s="3" t="str">
        <f>_xlfn.XLOOKUP(Table3[[#This Row],[Location ]], Table1[Location],Table1[SVG Location],0,0)</f>
        <v>XDU_100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tr">
        <f>_xlfn.XLOOKUP(Table3[[#This Row],[Location ]],Table1[Location],Table1[Oracle Location],0,0)</f>
        <v>MONDP</v>
      </c>
      <c r="F503" s="3" t="str">
        <f>_xlfn.XLOOKUP(Table3[[#This Row],[Location ]], Table1[Location],Table1[SVG Location],0,0)</f>
        <v>DH_400</v>
      </c>
      <c r="G503" s="3" t="s">
        <v>1614</v>
      </c>
    </row>
    <row r="504" spans="1:7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tr">
        <f>_xlfn.XLOOKUP(Table3[[#This Row],[Location ]],Table1[Location],Table1[Oracle Location],0,0)</f>
        <v>MTY 1, MTY1</v>
      </c>
      <c r="F504" s="3" t="str">
        <f>_xlfn.XLOOKUP(Table3[[#This Row],[Location ]], Table1[Location],Table1[SVG Location],0,0)</f>
        <v>Warehouse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tr">
        <f>_xlfn.XLOOKUP(Table3[[#This Row],[Location ]],Table1[Location],Table1[Oracle Location],0,0)</f>
        <v>MONDP</v>
      </c>
      <c r="F505" s="3" t="str">
        <f>_xlfn.XLOOKUP(Table3[[#This Row],[Location ]], Table1[Location],Table1[SVG Location],0,0)</f>
        <v>DH_400</v>
      </c>
      <c r="G505" s="3" t="s">
        <v>1614</v>
      </c>
    </row>
    <row r="506" spans="1:7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tr">
        <f>_xlfn.XLOOKUP(Table3[[#This Row],[Location ]],Table1[Location],Table1[Oracle Location],0,0)</f>
        <v>MONDP</v>
      </c>
      <c r="F506" s="3" t="str">
        <f>_xlfn.XLOOKUP(Table3[[#This Row],[Location ]], Table1[Location],Table1[SVG Location],0,0)</f>
        <v>DH_400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tr">
        <f>_xlfn.XLOOKUP(Table3[[#This Row],[Location ]],Table1[Location],Table1[Oracle Location],0,0)</f>
        <v>MONMC</v>
      </c>
      <c r="F507" s="3" t="str">
        <f>_xlfn.XLOOKUP(Table3[[#This Row],[Location ]], Table1[Location],Table1[SVG Location],0,0)</f>
        <v>MC</v>
      </c>
      <c r="G507" s="3" t="s">
        <v>1614</v>
      </c>
    </row>
    <row r="508" spans="1:7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tr">
        <f>_xlfn.XLOOKUP(Table3[[#This Row],[Location ]],Table1[Location],Table1[Oracle Location],0,0)</f>
        <v>MONDP</v>
      </c>
      <c r="F508" s="3" t="str">
        <f>_xlfn.XLOOKUP(Table3[[#This Row],[Location ]], Table1[Location],Table1[SVG Location],0,0)</f>
        <v>DH_400</v>
      </c>
      <c r="G508" s="3" t="s">
        <v>1613</v>
      </c>
    </row>
    <row r="509" spans="1:7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tr">
        <f>_xlfn.XLOOKUP(Table3[[#This Row],[Location ]],Table1[Location],Table1[Oracle Location],0,0)</f>
        <v>MONDP</v>
      </c>
      <c r="F509" s="3" t="str">
        <f>_xlfn.XLOOKUP(Table3[[#This Row],[Location ]], Table1[Location],Table1[SVG Location],0,0)</f>
        <v>DH_400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tr">
        <f>_xlfn.XLOOKUP(Table3[[#This Row],[Location ]],Table1[Location],Table1[Oracle Location],0,0)</f>
        <v>ALL</v>
      </c>
      <c r="F510" s="3" t="str">
        <f>_xlfn.XLOOKUP(Table3[[#This Row],[Location ]], Table1[Location],Table1[SVG Location],0,0)</f>
        <v>ALL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tr">
        <f>_xlfn.XLOOKUP(Table3[[#This Row],[Location ]],Table1[Location],Table1[Oracle Location],0,0)</f>
        <v>MONDA</v>
      </c>
      <c r="F511" s="3" t="str">
        <f>_xlfn.XLOOKUP(Table3[[#This Row],[Location ]], Table1[Location],Table1[SVG Location],0,0)</f>
        <v>MONDA</v>
      </c>
      <c r="G511" s="3" t="s">
        <v>1614</v>
      </c>
    </row>
    <row r="512" spans="1:7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tr">
        <f>_xlfn.XLOOKUP(Table3[[#This Row],[Location ]],Table1[Location],Table1[Oracle Location],0,0)</f>
        <v>MONDP</v>
      </c>
      <c r="F512" s="3" t="str">
        <f>_xlfn.XLOOKUP(Table3[[#This Row],[Location ]], Table1[Location],Table1[SVG Location],0,0)</f>
        <v>DH_400</v>
      </c>
      <c r="G512" s="3" t="s">
        <v>1617</v>
      </c>
    </row>
    <row r="513" spans="1:7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tr">
        <f>_xlfn.XLOOKUP(Table3[[#This Row],[Location ]],Table1[Location],Table1[Oracle Location],0,0)</f>
        <v>MONXDU100</v>
      </c>
      <c r="F513" s="3" t="str">
        <f>_xlfn.XLOOKUP(Table3[[#This Row],[Location ]], Table1[Location],Table1[SVG Location],0,0)</f>
        <v>XDU_100</v>
      </c>
      <c r="G513" s="3" t="s">
        <v>1615</v>
      </c>
    </row>
    <row r="514" spans="1:7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tr">
        <f>_xlfn.XLOOKUP(Table3[[#This Row],[Location ]],Table1[Location],Table1[Oracle Location],0,0)</f>
        <v>MONXDU</v>
      </c>
      <c r="F514" s="3" t="str">
        <f>_xlfn.XLOOKUP(Table3[[#This Row],[Location ]], Table1[Location],Table1[SVG Location],0,0)</f>
        <v>XDU_1350</v>
      </c>
      <c r="G514" s="3" t="s">
        <v>1617</v>
      </c>
    </row>
    <row r="515" spans="1:7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tr">
        <f>_xlfn.XLOOKUP(Table3[[#This Row],[Location ]],Table1[Location],Table1[Oracle Location],0,0)</f>
        <v>MONDP</v>
      </c>
      <c r="F515" s="3" t="str">
        <f>_xlfn.XLOOKUP(Table3[[#This Row],[Location ]], Table1[Location],Table1[SVG Location],0,0)</f>
        <v>DH_400</v>
      </c>
      <c r="G515" s="3" t="s">
        <v>1615</v>
      </c>
    </row>
    <row r="516" spans="1:7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tr">
        <f>_xlfn.XLOOKUP(Table3[[#This Row],[Location ]],Table1[Location],Table1[Oracle Location],0,0)</f>
        <v>MONXDM</v>
      </c>
      <c r="F516" s="3" t="str">
        <f>_xlfn.XLOOKUP(Table3[[#This Row],[Location ]], Table1[Location],Table1[SVG Location],0,0)</f>
        <v>XDM</v>
      </c>
      <c r="G516" s="3" t="s">
        <v>1615</v>
      </c>
    </row>
    <row r="517" spans="1:7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tr">
        <f>_xlfn.XLOOKUP(Table3[[#This Row],[Location ]],Table1[Location],Table1[Oracle Location],0,0)</f>
        <v>MONEP</v>
      </c>
      <c r="F517" s="3" t="str">
        <f>_xlfn.XLOOKUP(Table3[[#This Row],[Location ]], Table1[Location],Table1[SVG Location],0,0)</f>
        <v>EP</v>
      </c>
      <c r="G517" s="3" t="s">
        <v>1613</v>
      </c>
    </row>
    <row r="518" spans="1:7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tr">
        <f>_xlfn.XLOOKUP(Table3[[#This Row],[Location ]],Table1[Location],Table1[Oracle Location],0,0)</f>
        <v>MONBLW</v>
      </c>
      <c r="F518" s="3" t="str">
        <f>_xlfn.XLOOKUP(Table3[[#This Row],[Location ]], Table1[Location],Table1[SVG Location],0,0)</f>
        <v>Blower</v>
      </c>
      <c r="G518" s="3" t="s">
        <v>1615</v>
      </c>
    </row>
    <row r="519" spans="1:7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tr">
        <f>_xlfn.XLOOKUP(Table3[[#This Row],[Location ]],Table1[Location],Table1[Oracle Location],0,0)</f>
        <v>MONBLW</v>
      </c>
      <c r="F519" s="3" t="str">
        <f>_xlfn.XLOOKUP(Table3[[#This Row],[Location ]], Table1[Location],Table1[SVG Location],0,0)</f>
        <v>Blower</v>
      </c>
      <c r="G519" s="3" t="s">
        <v>1617</v>
      </c>
    </row>
    <row r="520" spans="1:7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tr">
        <f>_xlfn.XLOOKUP(Table3[[#This Row],[Location ]],Table1[Location],Table1[Oracle Location],0,0)</f>
        <v>MONMC</v>
      </c>
      <c r="F520" s="3" t="str">
        <f>_xlfn.XLOOKUP(Table3[[#This Row],[Location ]], Table1[Location],Table1[SVG Location],0,0)</f>
        <v>MC</v>
      </c>
      <c r="G520" s="3" t="s">
        <v>1617</v>
      </c>
    </row>
    <row r="521" spans="1:7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tr">
        <f>_xlfn.XLOOKUP(Table3[[#This Row],[Location ]],Table1[Location],Table1[Oracle Location],0,0)</f>
        <v>MONMC</v>
      </c>
      <c r="F521" s="3" t="str">
        <f>_xlfn.XLOOKUP(Table3[[#This Row],[Location ]], Table1[Location],Table1[SVG Location],0,0)</f>
        <v>MC</v>
      </c>
      <c r="G521" s="3" t="s">
        <v>1615</v>
      </c>
    </row>
    <row r="522" spans="1:7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tr">
        <f>_xlfn.XLOOKUP(Table3[[#This Row],[Location ]],Table1[Location],Table1[Oracle Location],0,0)</f>
        <v>MONPIPING</v>
      </c>
      <c r="F522" s="3" t="str">
        <f>_xlfn.XLOOKUP(Table3[[#This Row],[Location ]], Table1[Location],Table1[SVG Location],0,0)</f>
        <v>Piping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tr">
        <f>_xlfn.XLOOKUP(Table3[[#This Row],[Location ]],Table1[Location],Table1[Oracle Location],0,0)</f>
        <v>MTY 1, MTY1</v>
      </c>
      <c r="F523" s="3" t="str">
        <f>_xlfn.XLOOKUP(Table3[[#This Row],[Location ]], Table1[Location],Table1[SVG Location],0,0)</f>
        <v>Warehouse</v>
      </c>
      <c r="G523" s="3" t="s">
        <v>1614</v>
      </c>
    </row>
    <row r="524" spans="1:7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tr">
        <f>_xlfn.XLOOKUP(Table3[[#This Row],[Location ]],Table1[Location],Table1[Oracle Location],0,0)</f>
        <v>MONEP</v>
      </c>
      <c r="F524" s="3" t="str">
        <f>_xlfn.XLOOKUP(Table3[[#This Row],[Location ]], Table1[Location],Table1[SVG Location],0,0)</f>
        <v>EP</v>
      </c>
      <c r="G524" s="3" t="s">
        <v>1615</v>
      </c>
    </row>
    <row r="525" spans="1:7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tr">
        <f>_xlfn.XLOOKUP(Table3[[#This Row],[Location ]],Table1[Location],Table1[Oracle Location],0,0)</f>
        <v>MONMC</v>
      </c>
      <c r="F525" s="3" t="str">
        <f>_xlfn.XLOOKUP(Table3[[#This Row],[Location ]], Table1[Location],Table1[SVG Location],0,0)</f>
        <v>MC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tr">
        <f>_xlfn.XLOOKUP(Table3[[#This Row],[Location ]],Table1[Location],Table1[Oracle Location],0,0)</f>
        <v>MTY 1, MTY1</v>
      </c>
      <c r="F526" s="3" t="str">
        <f>_xlfn.XLOOKUP(Table3[[#This Row],[Location ]], Table1[Location],Table1[SVG Location],0,0)</f>
        <v>Warehouse</v>
      </c>
      <c r="G526" s="3" t="s">
        <v>1614</v>
      </c>
    </row>
    <row r="527" spans="1:7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tr">
        <f>_xlfn.XLOOKUP(Table3[[#This Row],[Location ]],Table1[Location],Table1[Oracle Location],0,0)</f>
        <v>MONPIPING</v>
      </c>
      <c r="F527" s="3" t="str">
        <f>_xlfn.XLOOKUP(Table3[[#This Row],[Location ]], Table1[Location],Table1[SVG Location],0,0)</f>
        <v>Piping</v>
      </c>
      <c r="G527" s="3" t="s">
        <v>1617</v>
      </c>
    </row>
    <row r="528" spans="1:7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tr">
        <f>_xlfn.XLOOKUP(Table3[[#This Row],[Location ]],Table1[Location],Table1[Oracle Location],0,0)</f>
        <v>MONMC</v>
      </c>
      <c r="F528" s="3" t="str">
        <f>_xlfn.XLOOKUP(Table3[[#This Row],[Location ]], Table1[Location],Table1[SVG Location],0,0)</f>
        <v>MC</v>
      </c>
      <c r="G528" s="3" t="s">
        <v>1617</v>
      </c>
    </row>
    <row r="529" spans="1:7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tr">
        <f>_xlfn.XLOOKUP(Table3[[#This Row],[Location ]],Table1[Location],Table1[Oracle Location],0,0)</f>
        <v>MONMC</v>
      </c>
      <c r="F529" s="3" t="str">
        <f>_xlfn.XLOOKUP(Table3[[#This Row],[Location ]], Table1[Location],Table1[SVG Location],0,0)</f>
        <v>MC</v>
      </c>
      <c r="G529" s="3" t="s">
        <v>1617</v>
      </c>
    </row>
    <row r="530" spans="1:7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tr">
        <f>_xlfn.XLOOKUP(Table3[[#This Row],[Location ]],Table1[Location],Table1[Oracle Location],0,0)</f>
        <v>MONDP</v>
      </c>
      <c r="F530" s="3" t="str">
        <f>_xlfn.XLOOKUP(Table3[[#This Row],[Location ]], Table1[Location],Table1[SVG Location],0,0)</f>
        <v>DH_400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tr">
        <f>_xlfn.XLOOKUP(Table3[[#This Row],[Location ]],Table1[Location],Table1[Oracle Location],0,0)</f>
        <v>MONPIPING</v>
      </c>
      <c r="F531" s="3" t="str">
        <f>_xlfn.XLOOKUP(Table3[[#This Row],[Location ]], Table1[Location],Table1[SVG Location],0,0)</f>
        <v>Piping</v>
      </c>
      <c r="G531" s="3" t="s">
        <v>1614</v>
      </c>
    </row>
    <row r="532" spans="1:7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tr">
        <f>_xlfn.XLOOKUP(Table3[[#This Row],[Location ]],Table1[Location],Table1[Oracle Location],0,0)</f>
        <v>MONDP</v>
      </c>
      <c r="F532" s="3" t="str">
        <f>_xlfn.XLOOKUP(Table3[[#This Row],[Location ]], Table1[Location],Table1[SVG Location],0,0)</f>
        <v>DH_400</v>
      </c>
      <c r="G532" s="3" t="s">
        <v>1617</v>
      </c>
    </row>
    <row r="533" spans="1:7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tr">
        <f>_xlfn.XLOOKUP(Table3[[#This Row],[Location ]],Table1[Location],Table1[Oracle Location],0,0)</f>
        <v>MONPRE</v>
      </c>
      <c r="F533" s="3" t="str">
        <f>_xlfn.XLOOKUP(Table3[[#This Row],[Location ]], Table1[Location],Table1[SVG Location],0,0)</f>
        <v>PRE_L1</v>
      </c>
      <c r="G533" s="3" t="s">
        <v>1615</v>
      </c>
    </row>
    <row r="534" spans="1:7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tr">
        <f>_xlfn.XLOOKUP(Table3[[#This Row],[Location ]],Table1[Location],Table1[Oracle Location],0,0)</f>
        <v>MONCOILS</v>
      </c>
      <c r="F534" s="3" t="str">
        <f>_xlfn.XLOOKUP(Table3[[#This Row],[Location ]], Table1[Location],Table1[SVG Location],0,0)</f>
        <v>Coils_Shop</v>
      </c>
      <c r="G534" s="3" t="s">
        <v>1615</v>
      </c>
    </row>
    <row r="535" spans="1:7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tr">
        <f>_xlfn.XLOOKUP(Table3[[#This Row],[Location ]],Table1[Location],Table1[Oracle Location],0,0)</f>
        <v>MONPRE</v>
      </c>
      <c r="F535" s="3" t="str">
        <f>_xlfn.XLOOKUP(Table3[[#This Row],[Location ]], Table1[Location],Table1[SVG Location],0,0)</f>
        <v>PRE_L1</v>
      </c>
      <c r="G535" s="3" t="s">
        <v>1617</v>
      </c>
    </row>
    <row r="536" spans="1:7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tr">
        <f>_xlfn.XLOOKUP(Table3[[#This Row],[Location ]],Table1[Location],Table1[Oracle Location],0,0)</f>
        <v>MONEP</v>
      </c>
      <c r="F536" s="3" t="str">
        <f>_xlfn.XLOOKUP(Table3[[#This Row],[Location ]], Table1[Location],Table1[SVG Location],0,0)</f>
        <v>EP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tr">
        <f>_xlfn.XLOOKUP(Table3[[#This Row],[Location ]],Table1[Location],Table1[Oracle Location],0,0)</f>
        <v>MONXDM</v>
      </c>
      <c r="F537" s="3" t="str">
        <f>_xlfn.XLOOKUP(Table3[[#This Row],[Location ]], Table1[Location],Table1[SVG Location],0,0)</f>
        <v>XDM</v>
      </c>
      <c r="G537" s="3" t="s">
        <v>1614</v>
      </c>
    </row>
    <row r="538" spans="1:7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tr">
        <f>_xlfn.XLOOKUP(Table3[[#This Row],[Location ]],Table1[Location],Table1[Oracle Location],0,0)</f>
        <v>MONDA</v>
      </c>
      <c r="F538" s="3" t="str">
        <f>_xlfn.XLOOKUP(Table3[[#This Row],[Location ]], Table1[Location],Table1[SVG Location],0,0)</f>
        <v>MONDA</v>
      </c>
      <c r="G538" s="3" t="s">
        <v>1617</v>
      </c>
    </row>
    <row r="539" spans="1:7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tr">
        <f>_xlfn.XLOOKUP(Table3[[#This Row],[Location ]],Table1[Location],Table1[Oracle Location],0,0)</f>
        <v>MONMC</v>
      </c>
      <c r="F539" s="3" t="str">
        <f>_xlfn.XLOOKUP(Table3[[#This Row],[Location ]], Table1[Location],Table1[SVG Location],0,0)</f>
        <v>MC</v>
      </c>
      <c r="G539" s="3" t="s">
        <v>1617</v>
      </c>
    </row>
    <row r="540" spans="1:7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tr">
        <f>_xlfn.XLOOKUP(Table3[[#This Row],[Location ]],Table1[Location],Table1[Oracle Location],0,0)</f>
        <v>MONCOILS</v>
      </c>
      <c r="F540" s="3" t="str">
        <f>_xlfn.XLOOKUP(Table3[[#This Row],[Location ]], Table1[Location],Table1[SVG Location],0,0)</f>
        <v>Coils_Shop</v>
      </c>
      <c r="G540" s="3" t="s">
        <v>1613</v>
      </c>
    </row>
    <row r="541" spans="1:7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tr">
        <f>_xlfn.XLOOKUP(Table3[[#This Row],[Location ]],Table1[Location],Table1[Oracle Location],0,0)</f>
        <v>MONXDM</v>
      </c>
      <c r="F541" s="3" t="str">
        <f>_xlfn.XLOOKUP(Table3[[#This Row],[Location ]], Table1[Location],Table1[SVG Location],0,0)</f>
        <v>XDM</v>
      </c>
      <c r="G541" s="3" t="s">
        <v>1613</v>
      </c>
    </row>
    <row r="542" spans="1:7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tr">
        <f>_xlfn.XLOOKUP(Table3[[#This Row],[Location ]],Table1[Location],Table1[Oracle Location],0,0)</f>
        <v>MONXDM</v>
      </c>
      <c r="F542" s="3" t="str">
        <f>_xlfn.XLOOKUP(Table3[[#This Row],[Location ]], Table1[Location],Table1[SVG Location],0,0)</f>
        <v>XDM</v>
      </c>
      <c r="G542" s="3" t="s">
        <v>1615</v>
      </c>
    </row>
    <row r="543" spans="1:7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tr">
        <f>_xlfn.XLOOKUP(Table3[[#This Row],[Location ]],Table1[Location],Table1[Oracle Location],0,0)</f>
        <v>MONXDU</v>
      </c>
      <c r="F543" s="3" t="str">
        <f>_xlfn.XLOOKUP(Table3[[#This Row],[Location ]], Table1[Location],Table1[SVG Location],0,0)</f>
        <v>XDU_1350</v>
      </c>
      <c r="G543" s="3" t="s">
        <v>1615</v>
      </c>
    </row>
    <row r="544" spans="1:7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tr">
        <f>_xlfn.XLOOKUP(Table3[[#This Row],[Location ]],Table1[Location],Table1[Oracle Location],0,0)</f>
        <v>MONDP</v>
      </c>
      <c r="F544" s="3" t="str">
        <f>_xlfn.XLOOKUP(Table3[[#This Row],[Location ]], Table1[Location],Table1[SVG Location],0,0)</f>
        <v>DH_400</v>
      </c>
      <c r="G544" s="3" t="s">
        <v>1613</v>
      </c>
    </row>
    <row r="545" spans="1:7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tr">
        <f>_xlfn.XLOOKUP(Table3[[#This Row],[Location ]],Table1[Location],Table1[Oracle Location],0,0)</f>
        <v>MONPIPING</v>
      </c>
      <c r="F545" s="3" t="str">
        <f>_xlfn.XLOOKUP(Table3[[#This Row],[Location ]], Table1[Location],Table1[SVG Location],0,0)</f>
        <v>Piping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tr">
        <f>_xlfn.XLOOKUP(Table3[[#This Row],[Location ]],Table1[Location],Table1[Oracle Location],0,0)</f>
        <v>ALL</v>
      </c>
      <c r="F546" s="3" t="str">
        <f>_xlfn.XLOOKUP(Table3[[#This Row],[Location ]], Table1[Location],Table1[SVG Location],0,0)</f>
        <v>ALL</v>
      </c>
      <c r="G546" s="3" t="s">
        <v>1614</v>
      </c>
    </row>
    <row r="547" spans="1:7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tr">
        <f>_xlfn.XLOOKUP(Table3[[#This Row],[Location ]],Table1[Location],Table1[Oracle Location],0,0)</f>
        <v>MONDP</v>
      </c>
      <c r="F547" s="3" t="str">
        <f>_xlfn.XLOOKUP(Table3[[#This Row],[Location ]], Table1[Location],Table1[SVG Location],0,0)</f>
        <v>DH_400</v>
      </c>
      <c r="G547" s="3" t="s">
        <v>1613</v>
      </c>
    </row>
    <row r="548" spans="1:7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tr">
        <f>_xlfn.XLOOKUP(Table3[[#This Row],[Location ]],Table1[Location],Table1[Oracle Location],0,0)</f>
        <v>MONXDU</v>
      </c>
      <c r="F548" s="3" t="str">
        <f>_xlfn.XLOOKUP(Table3[[#This Row],[Location ]], Table1[Location],Table1[SVG Location],0,0)</f>
        <v>XDU_1350</v>
      </c>
      <c r="G548" s="3" t="s">
        <v>1613</v>
      </c>
    </row>
    <row r="549" spans="1:7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tr">
        <f>_xlfn.XLOOKUP(Table3[[#This Row],[Location ]],Table1[Location],Table1[Oracle Location],0,0)</f>
        <v>MONDP</v>
      </c>
      <c r="F549" s="3" t="str">
        <f>_xlfn.XLOOKUP(Table3[[#This Row],[Location ]], Table1[Location],Table1[SVG Location],0,0)</f>
        <v>DH_400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tr">
        <f>_xlfn.XLOOKUP(Table3[[#This Row],[Location ]],Table1[Location],Table1[Oracle Location],0,0)</f>
        <v>MON-AFC</v>
      </c>
      <c r="F550" s="3" t="str">
        <f>_xlfn.XLOOKUP(Table3[[#This Row],[Location ]], Table1[Location],Table1[SVG Location],0,0)</f>
        <v>AFC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tr">
        <f>_xlfn.XLOOKUP(Table3[[#This Row],[Location ]],Table1[Location],Table1[Oracle Location],0,0)</f>
        <v>MONXDU100</v>
      </c>
      <c r="F551" s="3" t="str">
        <f>_xlfn.XLOOKUP(Table3[[#This Row],[Location ]], Table1[Location],Table1[SVG Location],0,0)</f>
        <v>XDU_100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tr">
        <f>_xlfn.XLOOKUP(Table3[[#This Row],[Location ]],Table1[Location],Table1[Oracle Location],0,0)</f>
        <v>Fastenal</v>
      </c>
      <c r="F552" s="3" t="str">
        <f>_xlfn.XLOOKUP(Table3[[#This Row],[Location ]], Table1[Location],Table1[SVG Location],0,0)</f>
        <v>Fastenal</v>
      </c>
      <c r="G552" s="3" t="s">
        <v>1616</v>
      </c>
    </row>
    <row r="553" spans="1:7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tr">
        <f>_xlfn.XLOOKUP(Table3[[#This Row],[Location ]],Table1[Location],Table1[Oracle Location],0,0)</f>
        <v>MONBLW</v>
      </c>
      <c r="F553" s="3" t="str">
        <f>_xlfn.XLOOKUP(Table3[[#This Row],[Location ]], Table1[Location],Table1[SVG Location],0,0)</f>
        <v>Blower</v>
      </c>
      <c r="G553" s="3" t="s">
        <v>1617</v>
      </c>
    </row>
    <row r="554" spans="1:7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tr">
        <f>_xlfn.XLOOKUP(Table3[[#This Row],[Location ]],Table1[Location],Table1[Oracle Location],0,0)</f>
        <v>MONXDU</v>
      </c>
      <c r="F554" s="3" t="str">
        <f>_xlfn.XLOOKUP(Table3[[#This Row],[Location ]], Table1[Location],Table1[SVG Location],0,0)</f>
        <v>XDU_1350</v>
      </c>
      <c r="G554" s="3" t="s">
        <v>1617</v>
      </c>
    </row>
    <row r="555" spans="1:7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tr">
        <f>_xlfn.XLOOKUP(Table3[[#This Row],[Location ]],Table1[Location],Table1[Oracle Location],0,0)</f>
        <v>MONXDU</v>
      </c>
      <c r="F555" s="3" t="str">
        <f>_xlfn.XLOOKUP(Table3[[#This Row],[Location ]], Table1[Location],Table1[SVG Location],0,0)</f>
        <v>XDU_1350</v>
      </c>
      <c r="G555" s="3" t="s">
        <v>1615</v>
      </c>
    </row>
    <row r="556" spans="1:7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tr">
        <f>_xlfn.XLOOKUP(Table3[[#This Row],[Location ]],Table1[Location],Table1[Oracle Location],0,0)</f>
        <v>MONDP</v>
      </c>
      <c r="F556" s="3" t="str">
        <f>_xlfn.XLOOKUP(Table3[[#This Row],[Location ]], Table1[Location],Table1[SVG Location],0,0)</f>
        <v>DH_400</v>
      </c>
      <c r="G556" s="3" t="s">
        <v>1615</v>
      </c>
    </row>
    <row r="557" spans="1:7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tr">
        <f>_xlfn.XLOOKUP(Table3[[#This Row],[Location ]],Table1[Location],Table1[Oracle Location],0,0)</f>
        <v>MONDA</v>
      </c>
      <c r="F557" s="3" t="str">
        <f>_xlfn.XLOOKUP(Table3[[#This Row],[Location ]], Table1[Location],Table1[SVG Location],0,0)</f>
        <v>MONDA</v>
      </c>
      <c r="G557" s="3" t="s">
        <v>1617</v>
      </c>
    </row>
    <row r="558" spans="1:7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tr">
        <f>_xlfn.XLOOKUP(Table3[[#This Row],[Location ]],Table1[Location],Table1[Oracle Location],0,0)</f>
        <v>MONDA</v>
      </c>
      <c r="F558" s="3" t="str">
        <f>_xlfn.XLOOKUP(Table3[[#This Row],[Location ]], Table1[Location],Table1[SVG Location],0,0)</f>
        <v>MONDA</v>
      </c>
      <c r="G558" s="3" t="s">
        <v>1617</v>
      </c>
    </row>
    <row r="559" spans="1:7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tr">
        <f>_xlfn.XLOOKUP(Table3[[#This Row],[Location ]],Table1[Location],Table1[Oracle Location],0,0)</f>
        <v>MONSM</v>
      </c>
      <c r="F559" s="3" t="str">
        <f>_xlfn.XLOOKUP(Table3[[#This Row],[Location ]], Table1[Location],Table1[SVG Location],0,0)</f>
        <v>Sheet_Metal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tr">
        <f>_xlfn.XLOOKUP(Table3[[#This Row],[Location ]],Table1[Location],Table1[Oracle Location],0,0)</f>
        <v>MONEP</v>
      </c>
      <c r="F560" s="3" t="str">
        <f>_xlfn.XLOOKUP(Table3[[#This Row],[Location ]], Table1[Location],Table1[SVG Location],0,0)</f>
        <v>EP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tr">
        <f>_xlfn.XLOOKUP(Table3[[#This Row],[Location ]],Table1[Location],Table1[Oracle Location],0,0)</f>
        <v>SHIP</v>
      </c>
      <c r="F561" s="3" t="str">
        <f>_xlfn.XLOOKUP(Table3[[#This Row],[Location ]], Table1[Location],Table1[SVG Location],0,0)</f>
        <v>SHIP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tr">
        <f>_xlfn.XLOOKUP(Table3[[#This Row],[Location ]],Table1[Location],Table1[Oracle Location],0,0)</f>
        <v>MON-AFC</v>
      </c>
      <c r="F562" s="3" t="str">
        <f>_xlfn.XLOOKUP(Table3[[#This Row],[Location ]], Table1[Location],Table1[SVG Location],0,0)</f>
        <v>AFC</v>
      </c>
      <c r="G562" s="3" t="s">
        <v>1614</v>
      </c>
    </row>
    <row r="563" spans="1:7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tr">
        <f>_xlfn.XLOOKUP(Table3[[#This Row],[Location ]],Table1[Location],Table1[Oracle Location],0,0)</f>
        <v>MONDP</v>
      </c>
      <c r="F563" s="3" t="str">
        <f>_xlfn.XLOOKUP(Table3[[#This Row],[Location ]], Table1[Location],Table1[SVG Location],0,0)</f>
        <v>DH_400</v>
      </c>
      <c r="G563" s="3" t="s">
        <v>1615</v>
      </c>
    </row>
    <row r="564" spans="1:7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tr">
        <f>_xlfn.XLOOKUP(Table3[[#This Row],[Location ]],Table1[Location],Table1[Oracle Location],0,0)</f>
        <v>MTY 1, MTY1</v>
      </c>
      <c r="F564" s="3" t="str">
        <f>_xlfn.XLOOKUP(Table3[[#This Row],[Location ]], Table1[Location],Table1[SVG Location],0,0)</f>
        <v>Warehouse</v>
      </c>
      <c r="G564" s="3" t="s">
        <v>1617</v>
      </c>
    </row>
    <row r="565" spans="1:7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tr">
        <f>_xlfn.XLOOKUP(Table3[[#This Row],[Location ]],Table1[Location],Table1[Oracle Location],0,0)</f>
        <v>MONMC</v>
      </c>
      <c r="F565" s="3" t="str">
        <f>_xlfn.XLOOKUP(Table3[[#This Row],[Location ]], Table1[Location],Table1[SVG Location],0,0)</f>
        <v>MC</v>
      </c>
      <c r="G565" s="3" t="s">
        <v>1617</v>
      </c>
    </row>
    <row r="566" spans="1:7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tr">
        <f>_xlfn.XLOOKUP(Table3[[#This Row],[Location ]],Table1[Location],Table1[Oracle Location],0,0)</f>
        <v>MONXDU</v>
      </c>
      <c r="F566" s="3" t="str">
        <f>_xlfn.XLOOKUP(Table3[[#This Row],[Location ]], Table1[Location],Table1[SVG Location],0,0)</f>
        <v>XDU_1350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tr">
        <f>_xlfn.XLOOKUP(Table3[[#This Row],[Location ]],Table1[Location],Table1[Oracle Location],0,0)</f>
        <v>MONEP</v>
      </c>
      <c r="F567" s="3" t="str">
        <f>_xlfn.XLOOKUP(Table3[[#This Row],[Location ]], Table1[Location],Table1[SVG Location],0,0)</f>
        <v>EP</v>
      </c>
      <c r="G567" s="3" t="s">
        <v>1614</v>
      </c>
    </row>
    <row r="568" spans="1:7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tr">
        <f>_xlfn.XLOOKUP(Table3[[#This Row],[Location ]],Table1[Location],Table1[Oracle Location],0,0)</f>
        <v>MTY 1, MTY1</v>
      </c>
      <c r="F568" s="3" t="str">
        <f>_xlfn.XLOOKUP(Table3[[#This Row],[Location ]], Table1[Location],Table1[SVG Location],0,0)</f>
        <v>Warehouse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tr">
        <f>_xlfn.XLOOKUP(Table3[[#This Row],[Location ]],Table1[Location],Table1[Oracle Location],0,0)</f>
        <v>MONMC</v>
      </c>
      <c r="F569" s="3" t="str">
        <f>_xlfn.XLOOKUP(Table3[[#This Row],[Location ]], Table1[Location],Table1[SVG Location],0,0)</f>
        <v>MC</v>
      </c>
      <c r="G569" s="3" t="s">
        <v>1614</v>
      </c>
    </row>
    <row r="570" spans="1:7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tr">
        <f>_xlfn.XLOOKUP(Table3[[#This Row],[Location ]],Table1[Location],Table1[Oracle Location],0,0)</f>
        <v>MONDP</v>
      </c>
      <c r="F570" s="3" t="str">
        <f>_xlfn.XLOOKUP(Table3[[#This Row],[Location ]], Table1[Location],Table1[SVG Location],0,0)</f>
        <v>DH_400</v>
      </c>
      <c r="G570" s="3" t="s">
        <v>1615</v>
      </c>
    </row>
    <row r="571" spans="1:7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tr">
        <f>_xlfn.XLOOKUP(Table3[[#This Row],[Location ]],Table1[Location],Table1[Oracle Location],0,0)</f>
        <v>MONKITS</v>
      </c>
      <c r="F571" s="3" t="str">
        <f>_xlfn.XLOOKUP(Table3[[#This Row],[Location ]], Table1[Location],Table1[SVG Location],0,0)</f>
        <v>Kits</v>
      </c>
      <c r="G571" s="3" t="s">
        <v>1617</v>
      </c>
    </row>
    <row r="572" spans="1:7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tr">
        <f>_xlfn.XLOOKUP(Table3[[#This Row],[Location ]],Table1[Location],Table1[Oracle Location],0,0)</f>
        <v>MONPRE</v>
      </c>
      <c r="F572" s="3" t="str">
        <f>_xlfn.XLOOKUP(Table3[[#This Row],[Location ]], Table1[Location],Table1[SVG Location],0,0)</f>
        <v>PRE_L1</v>
      </c>
      <c r="G572" s="3" t="s">
        <v>1615</v>
      </c>
    </row>
    <row r="573" spans="1:7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tr">
        <f>_xlfn.XLOOKUP(Table3[[#This Row],[Location ]],Table1[Location],Table1[Oracle Location],0,0)</f>
        <v>MONBLW</v>
      </c>
      <c r="F573" s="3" t="str">
        <f>_xlfn.XLOOKUP(Table3[[#This Row],[Location ]], Table1[Location],Table1[SVG Location],0,0)</f>
        <v>Blower</v>
      </c>
      <c r="G573" s="3" t="s">
        <v>1617</v>
      </c>
    </row>
    <row r="574" spans="1:7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tr">
        <f>_xlfn.XLOOKUP(Table3[[#This Row],[Location ]],Table1[Location],Table1[Oracle Location],0,0)</f>
        <v>MTY 1, MTY1</v>
      </c>
      <c r="F574" s="3" t="str">
        <f>_xlfn.XLOOKUP(Table3[[#This Row],[Location ]], Table1[Location],Table1[SVG Location],0,0)</f>
        <v>Warehouse</v>
      </c>
      <c r="G574" s="3" t="s">
        <v>1617</v>
      </c>
    </row>
    <row r="575" spans="1:7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tr">
        <f>_xlfn.XLOOKUP(Table3[[#This Row],[Location ]],Table1[Location],Table1[Oracle Location],0,0)</f>
        <v>MONDP</v>
      </c>
      <c r="F575" s="3" t="str">
        <f>_xlfn.XLOOKUP(Table3[[#This Row],[Location ]], Table1[Location],Table1[SVG Location],0,0)</f>
        <v>DH_400</v>
      </c>
      <c r="G575" s="3" t="s">
        <v>1613</v>
      </c>
    </row>
    <row r="576" spans="1:7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tr">
        <f>_xlfn.XLOOKUP(Table3[[#This Row],[Location ]],Table1[Location],Table1[Oracle Location],0,0)</f>
        <v>MONEP</v>
      </c>
      <c r="F576" s="3" t="str">
        <f>_xlfn.XLOOKUP(Table3[[#This Row],[Location ]], Table1[Location],Table1[SVG Location],0,0)</f>
        <v>EP</v>
      </c>
      <c r="G576" s="3" t="s">
        <v>1613</v>
      </c>
    </row>
    <row r="577" spans="1:7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tr">
        <f>_xlfn.XLOOKUP(Table3[[#This Row],[Location ]],Table1[Location],Table1[Oracle Location],0,0)</f>
        <v>MTY 1, MTY1</v>
      </c>
      <c r="F577" s="3" t="str">
        <f>_xlfn.XLOOKUP(Table3[[#This Row],[Location ]], Table1[Location],Table1[SVG Location],0,0)</f>
        <v>Warehouse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tr">
        <f>_xlfn.XLOOKUP(Table3[[#This Row],[Location ]],Table1[Location],Table1[Oracle Location],0,0)</f>
        <v>SHIP</v>
      </c>
      <c r="F578" s="3" t="str">
        <f>_xlfn.XLOOKUP(Table3[[#This Row],[Location ]], Table1[Location],Table1[SVG Location],0,0)</f>
        <v>SHIP</v>
      </c>
      <c r="G578" s="3" t="s">
        <v>1616</v>
      </c>
    </row>
    <row r="579" spans="1:7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tr">
        <f>_xlfn.XLOOKUP(Table3[[#This Row],[Location ]],Table1[Location],Table1[Oracle Location],0,0)</f>
        <v>MONBLW</v>
      </c>
      <c r="F579" s="3" t="str">
        <f>_xlfn.XLOOKUP(Table3[[#This Row],[Location ]], Table1[Location],Table1[SVG Location],0,0)</f>
        <v>Blower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tr">
        <f>_xlfn.XLOOKUP(Table3[[#This Row],[Location ]],Table1[Location],Table1[Oracle Location],0,0)</f>
        <v>MONPIPING</v>
      </c>
      <c r="F580" s="3" t="str">
        <f>_xlfn.XLOOKUP(Table3[[#This Row],[Location ]], Table1[Location],Table1[SVG Location],0,0)</f>
        <v>Piping</v>
      </c>
      <c r="G580" s="3" t="s">
        <v>1616</v>
      </c>
    </row>
    <row r="581" spans="1:7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tr">
        <f>_xlfn.XLOOKUP(Table3[[#This Row],[Location ]],Table1[Location],Table1[Oracle Location],0,0)</f>
        <v>MONDP</v>
      </c>
      <c r="F581" s="3" t="str">
        <f>_xlfn.XLOOKUP(Table3[[#This Row],[Location ]], Table1[Location],Table1[SVG Location],0,0)</f>
        <v>DH_400</v>
      </c>
      <c r="G581" s="3" t="s">
        <v>1617</v>
      </c>
    </row>
    <row r="582" spans="1:7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tr">
        <f>_xlfn.XLOOKUP(Table3[[#This Row],[Location ]],Table1[Location],Table1[Oracle Location],0,0)</f>
        <v>MONDP</v>
      </c>
      <c r="F582" s="3" t="str">
        <f>_xlfn.XLOOKUP(Table3[[#This Row],[Location ]], Table1[Location],Table1[SVG Location],0,0)</f>
        <v>DH_400</v>
      </c>
      <c r="G582" s="3" t="s">
        <v>1613</v>
      </c>
    </row>
    <row r="583" spans="1:7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tr">
        <f>_xlfn.XLOOKUP(Table3[[#This Row],[Location ]],Table1[Location],Table1[Oracle Location],0,0)</f>
        <v>MONEP</v>
      </c>
      <c r="F583" s="3" t="str">
        <f>_xlfn.XLOOKUP(Table3[[#This Row],[Location ]], Table1[Location],Table1[SVG Location],0,0)</f>
        <v>EP</v>
      </c>
      <c r="G583" s="3" t="s">
        <v>1615</v>
      </c>
    </row>
    <row r="584" spans="1:7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tr">
        <f>_xlfn.XLOOKUP(Table3[[#This Row],[Location ]],Table1[Location],Table1[Oracle Location],0,0)</f>
        <v>MONEP</v>
      </c>
      <c r="F584" s="3" t="str">
        <f>_xlfn.XLOOKUP(Table3[[#This Row],[Location ]], Table1[Location],Table1[SVG Location],0,0)</f>
        <v>EP</v>
      </c>
      <c r="G584" s="3" t="s">
        <v>1615</v>
      </c>
    </row>
    <row r="585" spans="1:7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tr">
        <f>_xlfn.XLOOKUP(Table3[[#This Row],[Location ]],Table1[Location],Table1[Oracle Location],0,0)</f>
        <v>MONPRE</v>
      </c>
      <c r="F585" s="3" t="str">
        <f>_xlfn.XLOOKUP(Table3[[#This Row],[Location ]], Table1[Location],Table1[SVG Location],0,0)</f>
        <v>PRE_L1</v>
      </c>
      <c r="G585" s="3" t="s">
        <v>1617</v>
      </c>
    </row>
    <row r="586" spans="1:7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tr">
        <f>_xlfn.XLOOKUP(Table3[[#This Row],[Location ]],Table1[Location],Table1[Oracle Location],0,0)</f>
        <v>MONEP</v>
      </c>
      <c r="F586" s="3" t="str">
        <f>_xlfn.XLOOKUP(Table3[[#This Row],[Location ]], Table1[Location],Table1[SVG Location],0,0)</f>
        <v>EP</v>
      </c>
      <c r="G586" s="3" t="s">
        <v>1617</v>
      </c>
    </row>
    <row r="587" spans="1:7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tr">
        <f>_xlfn.XLOOKUP(Table3[[#This Row],[Location ]],Table1[Location],Table1[Oracle Location],0,0)</f>
        <v>MONXDU</v>
      </c>
      <c r="F587" s="3" t="str">
        <f>_xlfn.XLOOKUP(Table3[[#This Row],[Location ]], Table1[Location],Table1[SVG Location],0,0)</f>
        <v>XDU_1350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tr">
        <f>_xlfn.XLOOKUP(Table3[[#This Row],[Location ]],Table1[Location],Table1[Oracle Location],0,0)</f>
        <v>MONBLW</v>
      </c>
      <c r="F588" s="3" t="str">
        <f>_xlfn.XLOOKUP(Table3[[#This Row],[Location ]], Table1[Location],Table1[SVG Location],0,0)</f>
        <v>Blower</v>
      </c>
      <c r="G588" s="3" t="s">
        <v>1614</v>
      </c>
    </row>
    <row r="589" spans="1:7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tr">
        <f>_xlfn.XLOOKUP(Table3[[#This Row],[Location ]],Table1[Location],Table1[Oracle Location],0,0)</f>
        <v>MONDP</v>
      </c>
      <c r="F589" s="3" t="str">
        <f>_xlfn.XLOOKUP(Table3[[#This Row],[Location ]], Table1[Location],Table1[SVG Location],0,0)</f>
        <v>DH_400</v>
      </c>
      <c r="G589" s="3" t="s">
        <v>1615</v>
      </c>
    </row>
    <row r="590" spans="1:7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tr">
        <f>_xlfn.XLOOKUP(Table3[[#This Row],[Location ]],Table1[Location],Table1[Oracle Location],0,0)</f>
        <v>MONDP</v>
      </c>
      <c r="F590" s="3" t="str">
        <f>_xlfn.XLOOKUP(Table3[[#This Row],[Location ]], Table1[Location],Table1[SVG Location],0,0)</f>
        <v>DH_400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tr">
        <f>_xlfn.XLOOKUP(Table3[[#This Row],[Location ]],Table1[Location],Table1[Oracle Location],0,0)</f>
        <v>MTY 1, MTY1</v>
      </c>
      <c r="F591" s="3" t="str">
        <f>_xlfn.XLOOKUP(Table3[[#This Row],[Location ]], Table1[Location],Table1[SVG Location],0,0)</f>
        <v>Warehouse</v>
      </c>
      <c r="G591" s="3" t="s">
        <v>1614</v>
      </c>
    </row>
    <row r="592" spans="1:7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tr">
        <f>_xlfn.XLOOKUP(Table3[[#This Row],[Location ]],Table1[Location],Table1[Oracle Location],0,0)</f>
        <v>MONXDU100</v>
      </c>
      <c r="F592" s="3" t="str">
        <f>_xlfn.XLOOKUP(Table3[[#This Row],[Location ]], Table1[Location],Table1[SVG Location],0,0)</f>
        <v>XDU_100</v>
      </c>
      <c r="G592" s="3" t="s">
        <v>1615</v>
      </c>
    </row>
    <row r="593" spans="1:7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tr">
        <f>_xlfn.XLOOKUP(Table3[[#This Row],[Location ]],Table1[Location],Table1[Oracle Location],0,0)</f>
        <v>MONSKID</v>
      </c>
      <c r="F593" s="3" t="str">
        <f>_xlfn.XLOOKUP(Table3[[#This Row],[Location ]], Table1[Location],Table1[SVG Location],0,0)</f>
        <v>SKID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tr">
        <f>_xlfn.XLOOKUP(Table3[[#This Row],[Location ]],Table1[Location],Table1[Oracle Location],0,0)</f>
        <v>MONPRE</v>
      </c>
      <c r="F594" s="3" t="str">
        <f>_xlfn.XLOOKUP(Table3[[#This Row],[Location ]], Table1[Location],Table1[SVG Location],0,0)</f>
        <v>PRE_L1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tr">
        <f>_xlfn.XLOOKUP(Table3[[#This Row],[Location ]],Table1[Location],Table1[Oracle Location],0,0)</f>
        <v>SHIP</v>
      </c>
      <c r="F595" s="3" t="str">
        <f>_xlfn.XLOOKUP(Table3[[#This Row],[Location ]], Table1[Location],Table1[SVG Location],0,0)</f>
        <v>SHIP</v>
      </c>
      <c r="G595" s="3" t="s">
        <v>1616</v>
      </c>
    </row>
    <row r="596" spans="1:7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tr">
        <f>_xlfn.XLOOKUP(Table3[[#This Row],[Location ]],Table1[Location],Table1[Oracle Location],0,0)</f>
        <v>MONXDU</v>
      </c>
      <c r="F596" s="3" t="str">
        <f>_xlfn.XLOOKUP(Table3[[#This Row],[Location ]], Table1[Location],Table1[SVG Location],0,0)</f>
        <v>XDU_1350</v>
      </c>
      <c r="G596" s="3" t="s">
        <v>1615</v>
      </c>
    </row>
    <row r="597" spans="1:7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tr">
        <f>_xlfn.XLOOKUP(Table3[[#This Row],[Location ]],Table1[Location],Table1[Oracle Location],0,0)</f>
        <v>MONEP</v>
      </c>
      <c r="F597" s="3" t="str">
        <f>_xlfn.XLOOKUP(Table3[[#This Row],[Location ]], Table1[Location],Table1[SVG Location],0,0)</f>
        <v>EP</v>
      </c>
      <c r="G597" s="3" t="s">
        <v>1615</v>
      </c>
    </row>
    <row r="598" spans="1:7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tr">
        <f>_xlfn.XLOOKUP(Table3[[#This Row],[Location ]],Table1[Location],Table1[Oracle Location],0,0)</f>
        <v>MONDP</v>
      </c>
      <c r="F598" s="3" t="str">
        <f>_xlfn.XLOOKUP(Table3[[#This Row],[Location ]], Table1[Location],Table1[SVG Location],0,0)</f>
        <v>DH_400</v>
      </c>
      <c r="G598" s="3" t="s">
        <v>1617</v>
      </c>
    </row>
    <row r="599" spans="1:7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tr">
        <f>_xlfn.XLOOKUP(Table3[[#This Row],[Location ]],Table1[Location],Table1[Oracle Location],0,0)</f>
        <v>MONXDU</v>
      </c>
      <c r="F599" s="3" t="str">
        <f>_xlfn.XLOOKUP(Table3[[#This Row],[Location ]], Table1[Location],Table1[SVG Location],0,0)</f>
        <v>XDU_1350</v>
      </c>
      <c r="G599" s="3" t="s">
        <v>1617</v>
      </c>
    </row>
    <row r="600" spans="1:7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tr">
        <f>_xlfn.XLOOKUP(Table3[[#This Row],[Location ]],Table1[Location],Table1[Oracle Location],0,0)</f>
        <v>MONSKID</v>
      </c>
      <c r="F600" s="3" t="str">
        <f>_xlfn.XLOOKUP(Table3[[#This Row],[Location ]], Table1[Location],Table1[SVG Location],0,0)</f>
        <v>SKID</v>
      </c>
      <c r="G600" s="3" t="s">
        <v>1617</v>
      </c>
    </row>
    <row r="601" spans="1:7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tr">
        <f>_xlfn.XLOOKUP(Table3[[#This Row],[Location ]],Table1[Location],Table1[Oracle Location],0,0)</f>
        <v>MONDP</v>
      </c>
      <c r="F601" s="3" t="str">
        <f>_xlfn.XLOOKUP(Table3[[#This Row],[Location ]], Table1[Location],Table1[SVG Location],0,0)</f>
        <v>DH_400</v>
      </c>
      <c r="G601" s="3" t="s">
        <v>1617</v>
      </c>
    </row>
    <row r="602" spans="1:7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tr">
        <f>_xlfn.XLOOKUP(Table3[[#This Row],[Location ]],Table1[Location],Table1[Oracle Location],0,0)</f>
        <v>MONXDU100</v>
      </c>
      <c r="F602" s="3" t="str">
        <f>_xlfn.XLOOKUP(Table3[[#This Row],[Location ]], Table1[Location],Table1[SVG Location],0,0)</f>
        <v>XDU_100</v>
      </c>
      <c r="G602" s="3" t="s">
        <v>1617</v>
      </c>
    </row>
    <row r="603" spans="1:7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tr">
        <f>_xlfn.XLOOKUP(Table3[[#This Row],[Location ]],Table1[Location],Table1[Oracle Location],0,0)</f>
        <v>MONDP</v>
      </c>
      <c r="F603" s="3" t="str">
        <f>_xlfn.XLOOKUP(Table3[[#This Row],[Location ]], Table1[Location],Table1[SVG Location],0,0)</f>
        <v>DH_400</v>
      </c>
      <c r="G603" s="3" t="s">
        <v>1617</v>
      </c>
    </row>
    <row r="604" spans="1:7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tr">
        <f>_xlfn.XLOOKUP(Table3[[#This Row],[Location ]],Table1[Location],Table1[Oracle Location],0,0)</f>
        <v>MONDP</v>
      </c>
      <c r="F604" s="3" t="str">
        <f>_xlfn.XLOOKUP(Table3[[#This Row],[Location ]], Table1[Location],Table1[SVG Location],0,0)</f>
        <v>DH_400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tr">
        <f>_xlfn.XLOOKUP(Table3[[#This Row],[Location ]],Table1[Location],Table1[Oracle Location],0,0)</f>
        <v>MON-AFC</v>
      </c>
      <c r="F605" s="3" t="str">
        <f>_xlfn.XLOOKUP(Table3[[#This Row],[Location ]], Table1[Location],Table1[SVG Location],0,0)</f>
        <v>AFC</v>
      </c>
      <c r="G605" s="3" t="s">
        <v>1614</v>
      </c>
    </row>
    <row r="606" spans="1:7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tr">
        <f>_xlfn.XLOOKUP(Table3[[#This Row],[Location ]],Table1[Location],Table1[Oracle Location],0,0)</f>
        <v>MONXDU</v>
      </c>
      <c r="F606" s="3" t="str">
        <f>_xlfn.XLOOKUP(Table3[[#This Row],[Location ]], Table1[Location],Table1[SVG Location],0,0)</f>
        <v>XDU_1350</v>
      </c>
      <c r="G606" s="3" t="s">
        <v>1613</v>
      </c>
    </row>
    <row r="607" spans="1:7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tr">
        <f>_xlfn.XLOOKUP(Table3[[#This Row],[Location ]],Table1[Location],Table1[Oracle Location],0,0)</f>
        <v>MONKITS</v>
      </c>
      <c r="F607" s="3" t="str">
        <f>_xlfn.XLOOKUP(Table3[[#This Row],[Location ]], Table1[Location],Table1[SVG Location],0,0)</f>
        <v>Kits</v>
      </c>
      <c r="G607" s="3" t="s">
        <v>1617</v>
      </c>
    </row>
    <row r="608" spans="1:7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tr">
        <f>_xlfn.XLOOKUP(Table3[[#This Row],[Location ]],Table1[Location],Table1[Oracle Location],0,0)</f>
        <v>MONCOILS</v>
      </c>
      <c r="F608" s="3" t="str">
        <f>_xlfn.XLOOKUP(Table3[[#This Row],[Location ]], Table1[Location],Table1[SVG Location],0,0)</f>
        <v>Coils_Shop</v>
      </c>
      <c r="G608" s="3" t="s">
        <v>1613</v>
      </c>
    </row>
    <row r="609" spans="1:7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tr">
        <f>_xlfn.XLOOKUP(Table3[[#This Row],[Location ]],Table1[Location],Table1[Oracle Location],0,0)</f>
        <v>MONEP</v>
      </c>
      <c r="F609" s="3" t="str">
        <f>_xlfn.XLOOKUP(Table3[[#This Row],[Location ]], Table1[Location],Table1[SVG Location],0,0)</f>
        <v>EP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tr">
        <f>_xlfn.XLOOKUP(Table3[[#This Row],[Location ]],Table1[Location],Table1[Oracle Location],0,0)</f>
        <v>MTY 1, MTY1</v>
      </c>
      <c r="F610" s="3" t="str">
        <f>_xlfn.XLOOKUP(Table3[[#This Row],[Location ]], Table1[Location],Table1[SVG Location],0,0)</f>
        <v>Warehouse</v>
      </c>
      <c r="G610" s="3" t="s">
        <v>1614</v>
      </c>
    </row>
    <row r="611" spans="1:7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tr">
        <f>_xlfn.XLOOKUP(Table3[[#This Row],[Location ]],Table1[Location],Table1[Oracle Location],0,0)</f>
        <v>MONKITS</v>
      </c>
      <c r="F611" s="3" t="str">
        <f>_xlfn.XLOOKUP(Table3[[#This Row],[Location ]], Table1[Location],Table1[SVG Location],0,0)</f>
        <v>Kits</v>
      </c>
      <c r="G611" s="3" t="s">
        <v>1617</v>
      </c>
    </row>
    <row r="612" spans="1:7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tr">
        <f>_xlfn.XLOOKUP(Table3[[#This Row],[Location ]],Table1[Location],Table1[Oracle Location],0,0)</f>
        <v>MONDP</v>
      </c>
      <c r="F612" s="3" t="str">
        <f>_xlfn.XLOOKUP(Table3[[#This Row],[Location ]], Table1[Location],Table1[SVG Location],0,0)</f>
        <v>DH_400</v>
      </c>
      <c r="G612" s="3" t="s">
        <v>1613</v>
      </c>
    </row>
    <row r="613" spans="1:7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tr">
        <f>_xlfn.XLOOKUP(Table3[[#This Row],[Location ]],Table1[Location],Table1[Oracle Location],0,0)</f>
        <v>MONXDM</v>
      </c>
      <c r="F613" s="3" t="str">
        <f>_xlfn.XLOOKUP(Table3[[#This Row],[Location ]], Table1[Location],Table1[SVG Location],0,0)</f>
        <v>XDM</v>
      </c>
      <c r="G613" s="3" t="s">
        <v>1615</v>
      </c>
    </row>
    <row r="614" spans="1:7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tr">
        <f>_xlfn.XLOOKUP(Table3[[#This Row],[Location ]],Table1[Location],Table1[Oracle Location],0,0)</f>
        <v>MONMC</v>
      </c>
      <c r="F614" s="3" t="str">
        <f>_xlfn.XLOOKUP(Table3[[#This Row],[Location ]], Table1[Location],Table1[SVG Location],0,0)</f>
        <v>MC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tr">
        <f>_xlfn.XLOOKUP(Table3[[#This Row],[Location ]],Table1[Location],Table1[Oracle Location],0,0)</f>
        <v>MONBLW</v>
      </c>
      <c r="F615" s="3" t="str">
        <f>_xlfn.XLOOKUP(Table3[[#This Row],[Location ]], Table1[Location],Table1[SVG Location],0,0)</f>
        <v>Blower</v>
      </c>
      <c r="G615" s="3" t="s">
        <v>1616</v>
      </c>
    </row>
    <row r="616" spans="1:7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tr">
        <f>_xlfn.XLOOKUP(Table3[[#This Row],[Location ]],Table1[Location],Table1[Oracle Location],0,0)</f>
        <v>MONXDU</v>
      </c>
      <c r="F616" s="3" t="str">
        <f>_xlfn.XLOOKUP(Table3[[#This Row],[Location ]], Table1[Location],Table1[SVG Location],0,0)</f>
        <v>XDU_1350</v>
      </c>
      <c r="G616" s="3" t="s">
        <v>1615</v>
      </c>
    </row>
    <row r="617" spans="1:7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tr">
        <f>_xlfn.XLOOKUP(Table3[[#This Row],[Location ]],Table1[Location],Table1[Oracle Location],0,0)</f>
        <v>MONMC</v>
      </c>
      <c r="F617" s="3" t="str">
        <f>_xlfn.XLOOKUP(Table3[[#This Row],[Location ]], Table1[Location],Table1[SVG Location],0,0)</f>
        <v>MC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tr">
        <f>_xlfn.XLOOKUP(Table3[[#This Row],[Location ]],Table1[Location],Table1[Oracle Location],0,0)</f>
        <v>MONDA</v>
      </c>
      <c r="F618" s="3" t="str">
        <f>_xlfn.XLOOKUP(Table3[[#This Row],[Location ]], Table1[Location],Table1[SVG Location],0,0)</f>
        <v>MONDA</v>
      </c>
      <c r="G618" s="3" t="s">
        <v>1614</v>
      </c>
    </row>
    <row r="619" spans="1:7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tr">
        <f>_xlfn.XLOOKUP(Table3[[#This Row],[Location ]],Table1[Location],Table1[Oracle Location],0,0)</f>
        <v>MONXDU</v>
      </c>
      <c r="F619" s="3" t="str">
        <f>_xlfn.XLOOKUP(Table3[[#This Row],[Location ]], Table1[Location],Table1[SVG Location],0,0)</f>
        <v>XDU_1350</v>
      </c>
      <c r="G619" s="3" t="s">
        <v>1615</v>
      </c>
    </row>
    <row r="620" spans="1:7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tr">
        <f>_xlfn.XLOOKUP(Table3[[#This Row],[Location ]],Table1[Location],Table1[Oracle Location],0,0)</f>
        <v>MONEP</v>
      </c>
      <c r="F620" s="3" t="str">
        <f>_xlfn.XLOOKUP(Table3[[#This Row],[Location ]], Table1[Location],Table1[SVG Location],0,0)</f>
        <v>EP</v>
      </c>
      <c r="G620" s="3" t="s">
        <v>1615</v>
      </c>
    </row>
    <row r="621" spans="1:7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tr">
        <f>_xlfn.XLOOKUP(Table3[[#This Row],[Location ]],Table1[Location],Table1[Oracle Location],0,0)</f>
        <v>MONEP</v>
      </c>
      <c r="F621" s="3" t="str">
        <f>_xlfn.XLOOKUP(Table3[[#This Row],[Location ]], Table1[Location],Table1[SVG Location],0,0)</f>
        <v>EP</v>
      </c>
      <c r="G621" s="3" t="s">
        <v>1613</v>
      </c>
    </row>
    <row r="622" spans="1:7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tr">
        <f>_xlfn.XLOOKUP(Table3[[#This Row],[Location ]],Table1[Location],Table1[Oracle Location],0,0)</f>
        <v>MONEP</v>
      </c>
      <c r="F622" s="3" t="str">
        <f>_xlfn.XLOOKUP(Table3[[#This Row],[Location ]], Table1[Location],Table1[SVG Location],0,0)</f>
        <v>EP</v>
      </c>
      <c r="G622" s="3" t="s">
        <v>1613</v>
      </c>
    </row>
    <row r="623" spans="1:7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tr">
        <f>_xlfn.XLOOKUP(Table3[[#This Row],[Location ]],Table1[Location],Table1[Oracle Location],0,0)</f>
        <v>MONDP</v>
      </c>
      <c r="F623" s="3" t="str">
        <f>_xlfn.XLOOKUP(Table3[[#This Row],[Location ]], Table1[Location],Table1[SVG Location],0,0)</f>
        <v>DH_400</v>
      </c>
      <c r="G623" s="3" t="s">
        <v>1613</v>
      </c>
    </row>
    <row r="624" spans="1:7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tr">
        <f>_xlfn.XLOOKUP(Table3[[#This Row],[Location ]],Table1[Location],Table1[Oracle Location],0,0)</f>
        <v>MONEP</v>
      </c>
      <c r="F624" s="3" t="str">
        <f>_xlfn.XLOOKUP(Table3[[#This Row],[Location ]], Table1[Location],Table1[SVG Location],0,0)</f>
        <v>EP</v>
      </c>
      <c r="G624" s="3" t="s">
        <v>1615</v>
      </c>
    </row>
    <row r="625" spans="1:7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tr">
        <f>_xlfn.XLOOKUP(Table3[[#This Row],[Location ]],Table1[Location],Table1[Oracle Location],0,0)</f>
        <v>MONDP</v>
      </c>
      <c r="F625" s="3" t="str">
        <f>_xlfn.XLOOKUP(Table3[[#This Row],[Location ]], Table1[Location],Table1[SVG Location],0,0)</f>
        <v>DH_400</v>
      </c>
      <c r="G625" s="3" t="s">
        <v>1613</v>
      </c>
    </row>
    <row r="626" spans="1:7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tr">
        <f>_xlfn.XLOOKUP(Table3[[#This Row],[Location ]],Table1[Location],Table1[Oracle Location],0,0)</f>
        <v>MONDP</v>
      </c>
      <c r="F626" s="3" t="str">
        <f>_xlfn.XLOOKUP(Table3[[#This Row],[Location ]], Table1[Location],Table1[SVG Location],0,0)</f>
        <v>DH_400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tr">
        <f>_xlfn.XLOOKUP(Table3[[#This Row],[Location ]],Table1[Location],Table1[Oracle Location],0,0)</f>
        <v>MTY 1, MTY1</v>
      </c>
      <c r="F627" s="3" t="str">
        <f>_xlfn.XLOOKUP(Table3[[#This Row],[Location ]], Table1[Location],Table1[SVG Location],0,0)</f>
        <v>Warehouse</v>
      </c>
      <c r="G627" s="3" t="s">
        <v>1614</v>
      </c>
    </row>
    <row r="628" spans="1:7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tr">
        <f>_xlfn.XLOOKUP(Table3[[#This Row],[Location ]],Table1[Location],Table1[Oracle Location],0,0)</f>
        <v>MONDP</v>
      </c>
      <c r="F628" s="3" t="str">
        <f>_xlfn.XLOOKUP(Table3[[#This Row],[Location ]], Table1[Location],Table1[SVG Location],0,0)</f>
        <v>DH_400</v>
      </c>
      <c r="G628" s="3" t="s">
        <v>1617</v>
      </c>
    </row>
    <row r="629" spans="1:7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tr">
        <f>_xlfn.XLOOKUP(Table3[[#This Row],[Location ]],Table1[Location],Table1[Oracle Location],0,0)</f>
        <v>MONDP</v>
      </c>
      <c r="F629" s="3" t="str">
        <f>_xlfn.XLOOKUP(Table3[[#This Row],[Location ]], Table1[Location],Table1[SVG Location],0,0)</f>
        <v>DH_400</v>
      </c>
      <c r="G629" s="3" t="s">
        <v>1615</v>
      </c>
    </row>
    <row r="630" spans="1:7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tr">
        <f>_xlfn.XLOOKUP(Table3[[#This Row],[Location ]],Table1[Location],Table1[Oracle Location],0,0)</f>
        <v>MONBLW</v>
      </c>
      <c r="F630" s="3" t="str">
        <f>_xlfn.XLOOKUP(Table3[[#This Row],[Location ]], Table1[Location],Table1[SVG Location],0,0)</f>
        <v>Blower</v>
      </c>
      <c r="G630" s="3" t="s">
        <v>1617</v>
      </c>
    </row>
    <row r="631" spans="1:7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tr">
        <f>_xlfn.XLOOKUP(Table3[[#This Row],[Location ]],Table1[Location],Table1[Oracle Location],0,0)</f>
        <v>MONXDU</v>
      </c>
      <c r="F631" s="3" t="str">
        <f>_xlfn.XLOOKUP(Table3[[#This Row],[Location ]], Table1[Location],Table1[SVG Location],0,0)</f>
        <v>XDU_1350</v>
      </c>
      <c r="G631" s="3" t="s">
        <v>1613</v>
      </c>
    </row>
    <row r="632" spans="1:7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tr">
        <f>_xlfn.XLOOKUP(Table3[[#This Row],[Location ]],Table1[Location],Table1[Oracle Location],0,0)</f>
        <v>MONCR</v>
      </c>
      <c r="F632" s="3" t="str">
        <f>_xlfn.XLOOKUP(Table3[[#This Row],[Location ]], Table1[Location],Table1[SVG Location],0,0)</f>
        <v>CR</v>
      </c>
      <c r="G632" s="3" t="s">
        <v>1617</v>
      </c>
    </row>
    <row r="633" spans="1:7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tr">
        <f>_xlfn.XLOOKUP(Table3[[#This Row],[Location ]],Table1[Location],Table1[Oracle Location],0,0)</f>
        <v>MONDA</v>
      </c>
      <c r="F633" s="3" t="str">
        <f>_xlfn.XLOOKUP(Table3[[#This Row],[Location ]], Table1[Location],Table1[SVG Location],0,0)</f>
        <v>MONDA</v>
      </c>
      <c r="G633" s="3" t="s">
        <v>1617</v>
      </c>
    </row>
    <row r="634" spans="1:7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tr">
        <f>_xlfn.XLOOKUP(Table3[[#This Row],[Location ]],Table1[Location],Table1[Oracle Location],0,0)</f>
        <v>MONMC</v>
      </c>
      <c r="F634" s="3" t="str">
        <f>_xlfn.XLOOKUP(Table3[[#This Row],[Location ]], Table1[Location],Table1[SVG Location],0,0)</f>
        <v>MC</v>
      </c>
      <c r="G634" s="3" t="s">
        <v>1615</v>
      </c>
    </row>
    <row r="635" spans="1:7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tr">
        <f>_xlfn.XLOOKUP(Table3[[#This Row],[Location ]],Table1[Location],Table1[Oracle Location],0,0)</f>
        <v>MONPIPING</v>
      </c>
      <c r="F635" s="3" t="str">
        <f>_xlfn.XLOOKUP(Table3[[#This Row],[Location ]], Table1[Location],Table1[SVG Location],0,0)</f>
        <v>Piping</v>
      </c>
      <c r="G635" s="3" t="s">
        <v>1615</v>
      </c>
    </row>
    <row r="636" spans="1:7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tr">
        <f>_xlfn.XLOOKUP(Table3[[#This Row],[Location ]],Table1[Location],Table1[Oracle Location],0,0)</f>
        <v>MONXDM</v>
      </c>
      <c r="F636" s="3" t="str">
        <f>_xlfn.XLOOKUP(Table3[[#This Row],[Location ]], Table1[Location],Table1[SVG Location],0,0)</f>
        <v>XDM</v>
      </c>
      <c r="G636" s="3" t="s">
        <v>1615</v>
      </c>
    </row>
    <row r="637" spans="1:7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tr">
        <f>_xlfn.XLOOKUP(Table3[[#This Row],[Location ]],Table1[Location],Table1[Oracle Location],0,0)</f>
        <v>MONXDU100</v>
      </c>
      <c r="F637" s="3" t="str">
        <f>_xlfn.XLOOKUP(Table3[[#This Row],[Location ]], Table1[Location],Table1[SVG Location],0,0)</f>
        <v>XDU_100</v>
      </c>
      <c r="G637" s="3" t="s">
        <v>1615</v>
      </c>
    </row>
    <row r="638" spans="1:7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tr">
        <f>_xlfn.XLOOKUP(Table3[[#This Row],[Location ]],Table1[Location],Table1[Oracle Location],0,0)</f>
        <v>MONDP</v>
      </c>
      <c r="F638" s="3" t="str">
        <f>_xlfn.XLOOKUP(Table3[[#This Row],[Location ]], Table1[Location],Table1[SVG Location],0,0)</f>
        <v>DH_400</v>
      </c>
      <c r="G638" s="3" t="s">
        <v>1613</v>
      </c>
    </row>
    <row r="639" spans="1:7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tr">
        <f>_xlfn.XLOOKUP(Table3[[#This Row],[Location ]],Table1[Location],Table1[Oracle Location],0,0)</f>
        <v>MONDP</v>
      </c>
      <c r="F639" s="3" t="str">
        <f>_xlfn.XLOOKUP(Table3[[#This Row],[Location ]], Table1[Location],Table1[SVG Location],0,0)</f>
        <v>DH_400</v>
      </c>
      <c r="G639" s="3" t="s">
        <v>1613</v>
      </c>
    </row>
    <row r="640" spans="1:7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tr">
        <f>_xlfn.XLOOKUP(Table3[[#This Row],[Location ]],Table1[Location],Table1[Oracle Location],0,0)</f>
        <v>MONDP</v>
      </c>
      <c r="F640" s="3" t="str">
        <f>_xlfn.XLOOKUP(Table3[[#This Row],[Location ]], Table1[Location],Table1[SVG Location],0,0)</f>
        <v>DH_400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tr">
        <f>_xlfn.XLOOKUP(Table3[[#This Row],[Location ]],Table1[Location],Table1[Oracle Location],0,0)</f>
        <v>MONEP</v>
      </c>
      <c r="F641" s="3" t="str">
        <f>_xlfn.XLOOKUP(Table3[[#This Row],[Location ]], Table1[Location],Table1[SVG Location],0,0)</f>
        <v>EP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tr">
        <f>_xlfn.XLOOKUP(Table3[[#This Row],[Location ]],Table1[Location],Table1[Oracle Location],0,0)</f>
        <v>MRBM</v>
      </c>
      <c r="F642" s="3" t="str">
        <f>_xlfn.XLOOKUP(Table3[[#This Row],[Location ]], Table1[Location],Table1[SVG Location],0,0)</f>
        <v>MRB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tr">
        <f>_xlfn.XLOOKUP(Table3[[#This Row],[Location ]],Table1[Location],Table1[Oracle Location],0,0)</f>
        <v>MONXDU</v>
      </c>
      <c r="F643" s="3" t="str">
        <f>_xlfn.XLOOKUP(Table3[[#This Row],[Location ]], Table1[Location],Table1[SVG Location],0,0)</f>
        <v>XDU_1350</v>
      </c>
      <c r="G643" s="3" t="s">
        <v>1616</v>
      </c>
    </row>
    <row r="644" spans="1:7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tr">
        <f>_xlfn.XLOOKUP(Table3[[#This Row],[Location ]],Table1[Location],Table1[Oracle Location],0,0)</f>
        <v>MONEP</v>
      </c>
      <c r="F644" s="3" t="str">
        <f>_xlfn.XLOOKUP(Table3[[#This Row],[Location ]], Table1[Location],Table1[SVG Location],0,0)</f>
        <v>EP</v>
      </c>
      <c r="G644" s="3" t="s">
        <v>1615</v>
      </c>
    </row>
    <row r="645" spans="1:7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tr">
        <f>_xlfn.XLOOKUP(Table3[[#This Row],[Location ]],Table1[Location],Table1[Oracle Location],0,0)</f>
        <v>MONDP</v>
      </c>
      <c r="F645" s="3" t="str">
        <f>_xlfn.XLOOKUP(Table3[[#This Row],[Location ]], Table1[Location],Table1[SVG Location],0,0)</f>
        <v>DH_400</v>
      </c>
      <c r="G645" s="3" t="s">
        <v>1615</v>
      </c>
    </row>
    <row r="646" spans="1:7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tr">
        <f>_xlfn.XLOOKUP(Table3[[#This Row],[Location ]],Table1[Location],Table1[Oracle Location],0,0)</f>
        <v>MONEP</v>
      </c>
      <c r="F646" s="3" t="str">
        <f>_xlfn.XLOOKUP(Table3[[#This Row],[Location ]], Table1[Location],Table1[SVG Location],0,0)</f>
        <v>EP</v>
      </c>
      <c r="G646" s="3" t="s">
        <v>1613</v>
      </c>
    </row>
    <row r="647" spans="1:7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tr">
        <f>_xlfn.XLOOKUP(Table3[[#This Row],[Location ]],Table1[Location],Table1[Oracle Location],0,0)</f>
        <v>MONDP</v>
      </c>
      <c r="F647" s="3" t="str">
        <f>_xlfn.XLOOKUP(Table3[[#This Row],[Location ]], Table1[Location],Table1[SVG Location],0,0)</f>
        <v>DH_400</v>
      </c>
      <c r="G647" s="3" t="s">
        <v>1617</v>
      </c>
    </row>
    <row r="648" spans="1:7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tr">
        <f>_xlfn.XLOOKUP(Table3[[#This Row],[Location ]],Table1[Location],Table1[Oracle Location],0,0)</f>
        <v>MONXDU100</v>
      </c>
      <c r="F648" s="3" t="str">
        <f>_xlfn.XLOOKUP(Table3[[#This Row],[Location ]], Table1[Location],Table1[SVG Location],0,0)</f>
        <v>XDU_100</v>
      </c>
      <c r="G648" s="3" t="s">
        <v>1613</v>
      </c>
    </row>
    <row r="649" spans="1:7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tr">
        <f>_xlfn.XLOOKUP(Table3[[#This Row],[Location ]],Table1[Location],Table1[Oracle Location],0,0)</f>
        <v>MONBLW</v>
      </c>
      <c r="F649" s="3" t="str">
        <f>_xlfn.XLOOKUP(Table3[[#This Row],[Location ]], Table1[Location],Table1[SVG Location],0,0)</f>
        <v>Blower</v>
      </c>
      <c r="G649" s="3" t="s">
        <v>1615</v>
      </c>
    </row>
    <row r="650" spans="1:7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tr">
        <f>_xlfn.XLOOKUP(Table3[[#This Row],[Location ]],Table1[Location],Table1[Oracle Location],0,0)</f>
        <v>MONDP</v>
      </c>
      <c r="F650" s="3" t="str">
        <f>_xlfn.XLOOKUP(Table3[[#This Row],[Location ]], Table1[Location],Table1[SVG Location],0,0)</f>
        <v>DH_400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tr">
        <f>_xlfn.XLOOKUP(Table3[[#This Row],[Location ]],Table1[Location],Table1[Oracle Location],0,0)</f>
        <v>MONBLW</v>
      </c>
      <c r="F651" s="3" t="str">
        <f>_xlfn.XLOOKUP(Table3[[#This Row],[Location ]], Table1[Location],Table1[SVG Location],0,0)</f>
        <v>Blower</v>
      </c>
      <c r="G651" s="3" t="s">
        <v>1616</v>
      </c>
    </row>
    <row r="652" spans="1:7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tr">
        <f>_xlfn.XLOOKUP(Table3[[#This Row],[Location ]],Table1[Location],Table1[Oracle Location],0,0)</f>
        <v>MONXDU</v>
      </c>
      <c r="F652" s="3" t="str">
        <f>_xlfn.XLOOKUP(Table3[[#This Row],[Location ]], Table1[Location],Table1[SVG Location],0,0)</f>
        <v>XDU_1350</v>
      </c>
      <c r="G652" s="3" t="s">
        <v>1617</v>
      </c>
    </row>
    <row r="653" spans="1:7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tr">
        <f>_xlfn.XLOOKUP(Table3[[#This Row],[Location ]],Table1[Location],Table1[Oracle Location],0,0)</f>
        <v>MONDP</v>
      </c>
      <c r="F653" s="3" t="str">
        <f>_xlfn.XLOOKUP(Table3[[#This Row],[Location ]], Table1[Location],Table1[SVG Location],0,0)</f>
        <v>DH_400</v>
      </c>
      <c r="G653" s="3" t="s">
        <v>1613</v>
      </c>
    </row>
    <row r="654" spans="1:7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tr">
        <f>_xlfn.XLOOKUP(Table3[[#This Row],[Location ]],Table1[Location],Table1[Oracle Location],0,0)</f>
        <v>MONSM</v>
      </c>
      <c r="F654" s="3" t="str">
        <f>_xlfn.XLOOKUP(Table3[[#This Row],[Location ]], Table1[Location],Table1[SVG Location],0,0)</f>
        <v>Sheet_Metal</v>
      </c>
      <c r="G654" s="3" t="s">
        <v>1615</v>
      </c>
    </row>
    <row r="655" spans="1:7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tr">
        <f>_xlfn.XLOOKUP(Table3[[#This Row],[Location ]],Table1[Location],Table1[Oracle Location],0,0)</f>
        <v>MONDP</v>
      </c>
      <c r="F655" s="3" t="str">
        <f>_xlfn.XLOOKUP(Table3[[#This Row],[Location ]], Table1[Location],Table1[SVG Location],0,0)</f>
        <v>DH_400</v>
      </c>
      <c r="G655" s="3" t="s">
        <v>1613</v>
      </c>
    </row>
    <row r="656" spans="1:7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tr">
        <f>_xlfn.XLOOKUP(Table3[[#This Row],[Location ]],Table1[Location],Table1[Oracle Location],0,0)</f>
        <v>MONXDU</v>
      </c>
      <c r="F656" s="3" t="str">
        <f>_xlfn.XLOOKUP(Table3[[#This Row],[Location ]], Table1[Location],Table1[SVG Location],0,0)</f>
        <v>XDU_1350</v>
      </c>
      <c r="G656" s="3" t="s">
        <v>1617</v>
      </c>
    </row>
    <row r="657" spans="1:7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tr">
        <f>_xlfn.XLOOKUP(Table3[[#This Row],[Location ]],Table1[Location],Table1[Oracle Location],0,0)</f>
        <v>MONDP</v>
      </c>
      <c r="F657" s="3" t="str">
        <f>_xlfn.XLOOKUP(Table3[[#This Row],[Location ]], Table1[Location],Table1[SVG Location],0,0)</f>
        <v>DH_400</v>
      </c>
      <c r="G657" s="3" t="s">
        <v>1615</v>
      </c>
    </row>
    <row r="658" spans="1:7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tr">
        <f>_xlfn.XLOOKUP(Table3[[#This Row],[Location ]],Table1[Location],Table1[Oracle Location],0,0)</f>
        <v>MONDA</v>
      </c>
      <c r="F658" s="3" t="str">
        <f>_xlfn.XLOOKUP(Table3[[#This Row],[Location ]], Table1[Location],Table1[SVG Location],0,0)</f>
        <v>MONDA</v>
      </c>
      <c r="G658" s="3" t="s">
        <v>1617</v>
      </c>
    </row>
    <row r="659" spans="1:7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tr">
        <f>_xlfn.XLOOKUP(Table3[[#This Row],[Location ]],Table1[Location],Table1[Oracle Location],0,0)</f>
        <v>MONDA</v>
      </c>
      <c r="F659" s="3" t="str">
        <f>_xlfn.XLOOKUP(Table3[[#This Row],[Location ]], Table1[Location],Table1[SVG Location],0,0)</f>
        <v>MONDA</v>
      </c>
      <c r="G659" s="3" t="s">
        <v>1617</v>
      </c>
    </row>
    <row r="660" spans="1:7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tr">
        <f>_xlfn.XLOOKUP(Table3[[#This Row],[Location ]],Table1[Location],Table1[Oracle Location],0,0)</f>
        <v>MONXDU</v>
      </c>
      <c r="F660" s="3" t="str">
        <f>_xlfn.XLOOKUP(Table3[[#This Row],[Location ]], Table1[Location],Table1[SVG Location],0,0)</f>
        <v>XDU_1350</v>
      </c>
      <c r="G660" s="3" t="s">
        <v>1617</v>
      </c>
    </row>
    <row r="661" spans="1:7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tr">
        <f>_xlfn.XLOOKUP(Table3[[#This Row],[Location ]],Table1[Location],Table1[Oracle Location],0,0)</f>
        <v>MONDA</v>
      </c>
      <c r="F661" s="3" t="str">
        <f>_xlfn.XLOOKUP(Table3[[#This Row],[Location ]], Table1[Location],Table1[SVG Location],0,0)</f>
        <v>MONDA</v>
      </c>
      <c r="G661" s="3" t="s">
        <v>1617</v>
      </c>
    </row>
    <row r="662" spans="1:7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tr">
        <f>_xlfn.XLOOKUP(Table3[[#This Row],[Location ]],Table1[Location],Table1[Oracle Location],0,0)</f>
        <v>MONEP</v>
      </c>
      <c r="F662" s="3" t="str">
        <f>_xlfn.XLOOKUP(Table3[[#This Row],[Location ]], Table1[Location],Table1[SVG Location],0,0)</f>
        <v>EP</v>
      </c>
      <c r="G662" s="3" t="s">
        <v>1617</v>
      </c>
    </row>
    <row r="663" spans="1:7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tr">
        <f>_xlfn.XLOOKUP(Table3[[#This Row],[Location ]],Table1[Location],Table1[Oracle Location],0,0)</f>
        <v>MONXDU</v>
      </c>
      <c r="F663" s="3" t="str">
        <f>_xlfn.XLOOKUP(Table3[[#This Row],[Location ]], Table1[Location],Table1[SVG Location],0,0)</f>
        <v>XDU_1350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tr">
        <f>_xlfn.XLOOKUP(Table3[[#This Row],[Location ]],Table1[Location],Table1[Oracle Location],0,0)</f>
        <v>MONBLW</v>
      </c>
      <c r="F664" s="3" t="str">
        <f>_xlfn.XLOOKUP(Table3[[#This Row],[Location ]], Table1[Location],Table1[SVG Location],0,0)</f>
        <v>Blower</v>
      </c>
      <c r="G664" s="3" t="s">
        <v>1616</v>
      </c>
    </row>
    <row r="665" spans="1:7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tr">
        <f>_xlfn.XLOOKUP(Table3[[#This Row],[Location ]],Table1[Location],Table1[Oracle Location],0,0)</f>
        <v>MONDP</v>
      </c>
      <c r="F665" s="3" t="str">
        <f>_xlfn.XLOOKUP(Table3[[#This Row],[Location ]], Table1[Location],Table1[SVG Location],0,0)</f>
        <v>DH_400</v>
      </c>
      <c r="G665" s="3" t="s">
        <v>1617</v>
      </c>
    </row>
    <row r="666" spans="1:7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tr">
        <f>_xlfn.XLOOKUP(Table3[[#This Row],[Location ]],Table1[Location],Table1[Oracle Location],0,0)</f>
        <v>MONPRE</v>
      </c>
      <c r="F666" s="3" t="str">
        <f>_xlfn.XLOOKUP(Table3[[#This Row],[Location ]], Table1[Location],Table1[SVG Location],0,0)</f>
        <v>PRE_L1</v>
      </c>
      <c r="G666" s="3" t="s">
        <v>1617</v>
      </c>
    </row>
    <row r="667" spans="1:7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tr">
        <f>_xlfn.XLOOKUP(Table3[[#This Row],[Location ]],Table1[Location],Table1[Oracle Location],0,0)</f>
        <v>MONDA</v>
      </c>
      <c r="F667" s="3" t="str">
        <f>_xlfn.XLOOKUP(Table3[[#This Row],[Location ]], Table1[Location],Table1[SVG Location],0,0)</f>
        <v>MONDA</v>
      </c>
      <c r="G667" s="3" t="s">
        <v>1617</v>
      </c>
    </row>
    <row r="668" spans="1:7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tr">
        <f>_xlfn.XLOOKUP(Table3[[#This Row],[Location ]],Table1[Location],Table1[Oracle Location],0,0)</f>
        <v>MONDP</v>
      </c>
      <c r="F668" s="3" t="str">
        <f>_xlfn.XLOOKUP(Table3[[#This Row],[Location ]], Table1[Location],Table1[SVG Location],0,0)</f>
        <v>DH_400</v>
      </c>
      <c r="G668" s="3" t="s">
        <v>1615</v>
      </c>
    </row>
    <row r="669" spans="1:7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tr">
        <f>_xlfn.XLOOKUP(Table3[[#This Row],[Location ]],Table1[Location],Table1[Oracle Location],0,0)</f>
        <v>MONDA</v>
      </c>
      <c r="F669" s="3" t="str">
        <f>_xlfn.XLOOKUP(Table3[[#This Row],[Location ]], Table1[Location],Table1[SVG Location],0,0)</f>
        <v>MONDA</v>
      </c>
      <c r="G669" s="3" t="s">
        <v>1615</v>
      </c>
    </row>
    <row r="670" spans="1:7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tr">
        <f>_xlfn.XLOOKUP(Table3[[#This Row],[Location ]],Table1[Location],Table1[Oracle Location],0,0)</f>
        <v>MONMC</v>
      </c>
      <c r="F670" s="3" t="str">
        <f>_xlfn.XLOOKUP(Table3[[#This Row],[Location ]], Table1[Location],Table1[SVG Location],0,0)</f>
        <v>MC</v>
      </c>
      <c r="G670" s="3" t="s">
        <v>1615</v>
      </c>
    </row>
    <row r="671" spans="1:7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tr">
        <f>_xlfn.XLOOKUP(Table3[[#This Row],[Location ]],Table1[Location],Table1[Oracle Location],0,0)</f>
        <v>MONXDM</v>
      </c>
      <c r="F671" s="3" t="str">
        <f>_xlfn.XLOOKUP(Table3[[#This Row],[Location ]], Table1[Location],Table1[SVG Location],0,0)</f>
        <v>XDM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tr">
        <f>_xlfn.XLOOKUP(Table3[[#This Row],[Location ]],Table1[Location],Table1[Oracle Location],0,0)</f>
        <v>MTY 1, MTY1</v>
      </c>
      <c r="F672" s="3" t="str">
        <f>_xlfn.XLOOKUP(Table3[[#This Row],[Location ]], Table1[Location],Table1[SVG Location],0,0)</f>
        <v>Warehouse</v>
      </c>
      <c r="G672" s="3" t="s">
        <v>1614</v>
      </c>
    </row>
    <row r="673" spans="1:7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tr">
        <f>_xlfn.XLOOKUP(Table3[[#This Row],[Location ]],Table1[Location],Table1[Oracle Location],0,0)</f>
        <v>MONXDU</v>
      </c>
      <c r="F673" s="3" t="str">
        <f>_xlfn.XLOOKUP(Table3[[#This Row],[Location ]], Table1[Location],Table1[SVG Location],0,0)</f>
        <v>XDU_1350</v>
      </c>
      <c r="G673" s="3" t="s">
        <v>1615</v>
      </c>
    </row>
    <row r="674" spans="1:7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tr">
        <f>_xlfn.XLOOKUP(Table3[[#This Row],[Location ]],Table1[Location],Table1[Oracle Location],0,0)</f>
        <v>MONDP</v>
      </c>
      <c r="F674" s="3" t="str">
        <f>_xlfn.XLOOKUP(Table3[[#This Row],[Location ]], Table1[Location],Table1[SVG Location],0,0)</f>
        <v>DH_400</v>
      </c>
      <c r="G674" s="3" t="s">
        <v>1613</v>
      </c>
    </row>
    <row r="675" spans="1:7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tr">
        <f>_xlfn.XLOOKUP(Table3[[#This Row],[Location ]],Table1[Location],Table1[Oracle Location],0,0)</f>
        <v>MONDP</v>
      </c>
      <c r="F675" s="3" t="str">
        <f>_xlfn.XLOOKUP(Table3[[#This Row],[Location ]], Table1[Location],Table1[SVG Location],0,0)</f>
        <v>DH_400</v>
      </c>
      <c r="G675" s="3" t="s">
        <v>1613</v>
      </c>
    </row>
    <row r="676" spans="1:7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tr">
        <f>_xlfn.XLOOKUP(Table3[[#This Row],[Location ]],Table1[Location],Table1[Oracle Location],0,0)</f>
        <v>MONPIPING</v>
      </c>
      <c r="F676" s="3" t="str">
        <f>_xlfn.XLOOKUP(Table3[[#This Row],[Location ]], Table1[Location],Table1[SVG Location],0,0)</f>
        <v>Piping</v>
      </c>
      <c r="G676" s="3" t="s">
        <v>1615</v>
      </c>
    </row>
    <row r="677" spans="1:7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tr">
        <f>_xlfn.XLOOKUP(Table3[[#This Row],[Location ]],Table1[Location],Table1[Oracle Location],0,0)</f>
        <v>MONEP</v>
      </c>
      <c r="F677" s="3" t="str">
        <f>_xlfn.XLOOKUP(Table3[[#This Row],[Location ]], Table1[Location],Table1[SVG Location],0,0)</f>
        <v>EP</v>
      </c>
      <c r="G677" s="3" t="s">
        <v>1617</v>
      </c>
    </row>
    <row r="678" spans="1:7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tr">
        <f>_xlfn.XLOOKUP(Table3[[#This Row],[Location ]],Table1[Location],Table1[Oracle Location],0,0)</f>
        <v>MONMC</v>
      </c>
      <c r="F678" s="3" t="str">
        <f>_xlfn.XLOOKUP(Table3[[#This Row],[Location ]], Table1[Location],Table1[SVG Location],0,0)</f>
        <v>MC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tr">
        <f>_xlfn.XLOOKUP(Table3[[#This Row],[Location ]],Table1[Location],Table1[Oracle Location],0,0)</f>
        <v>MONEP</v>
      </c>
      <c r="F679" s="3" t="str">
        <f>_xlfn.XLOOKUP(Table3[[#This Row],[Location ]], Table1[Location],Table1[SVG Location],0,0)</f>
        <v>EP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tr">
        <f>_xlfn.XLOOKUP(Table3[[#This Row],[Location ]],Table1[Location],Table1[Oracle Location],0,0)</f>
        <v>MTY 1, MTY1</v>
      </c>
      <c r="F680" s="3" t="str">
        <f>_xlfn.XLOOKUP(Table3[[#This Row],[Location ]], Table1[Location],Table1[SVG Location],0,0)</f>
        <v>Warehouse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tr">
        <f>_xlfn.XLOOKUP(Table3[[#This Row],[Location ]],Table1[Location],Table1[Oracle Location],0,0)</f>
        <v>MONDA</v>
      </c>
      <c r="F681" s="3" t="str">
        <f>_xlfn.XLOOKUP(Table3[[#This Row],[Location ]], Table1[Location],Table1[SVG Location],0,0)</f>
        <v>MONDA</v>
      </c>
      <c r="G681" s="3" t="s">
        <v>1616</v>
      </c>
    </row>
    <row r="682" spans="1:7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tr">
        <f>_xlfn.XLOOKUP(Table3[[#This Row],[Location ]],Table1[Location],Table1[Oracle Location],0,0)</f>
        <v>MONDP</v>
      </c>
      <c r="F682" s="3" t="str">
        <f>_xlfn.XLOOKUP(Table3[[#This Row],[Location ]], Table1[Location],Table1[SVG Location],0,0)</f>
        <v>DH_400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tr">
        <f>_xlfn.XLOOKUP(Table3[[#This Row],[Location ]],Table1[Location],Table1[Oracle Location],0,0)</f>
        <v>SHIP</v>
      </c>
      <c r="F683" s="3" t="str">
        <f>_xlfn.XLOOKUP(Table3[[#This Row],[Location ]], Table1[Location],Table1[SVG Location],0,0)</f>
        <v>SHIP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tr">
        <f>_xlfn.XLOOKUP(Table3[[#This Row],[Location ]],Table1[Location],Table1[Oracle Location],0,0)</f>
        <v>MTY 1, MTY1</v>
      </c>
      <c r="F684" s="3" t="str">
        <f>_xlfn.XLOOKUP(Table3[[#This Row],[Location ]], Table1[Location],Table1[SVG Location],0,0)</f>
        <v>Warehouse</v>
      </c>
      <c r="G684" s="3" t="s">
        <v>1614</v>
      </c>
    </row>
    <row r="685" spans="1:7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tr">
        <f>_xlfn.XLOOKUP(Table3[[#This Row],[Location ]],Table1[Location],Table1[Oracle Location],0,0)</f>
        <v>MONEP</v>
      </c>
      <c r="F685" s="3" t="str">
        <f>_xlfn.XLOOKUP(Table3[[#This Row],[Location ]], Table1[Location],Table1[SVG Location],0,0)</f>
        <v>EP</v>
      </c>
      <c r="G685" s="3" t="s">
        <v>1615</v>
      </c>
    </row>
    <row r="686" spans="1:7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tr">
        <f>_xlfn.XLOOKUP(Table3[[#This Row],[Location ]],Table1[Location],Table1[Oracle Location],0,0)</f>
        <v>MONDA</v>
      </c>
      <c r="F686" s="3" t="str">
        <f>_xlfn.XLOOKUP(Table3[[#This Row],[Location ]], Table1[Location],Table1[SVG Location],0,0)</f>
        <v>MONDA</v>
      </c>
      <c r="G686" s="3" t="s">
        <v>1615</v>
      </c>
    </row>
    <row r="687" spans="1:7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tr">
        <f>_xlfn.XLOOKUP(Table3[[#This Row],[Location ]],Table1[Location],Table1[Oracle Location],0,0)</f>
        <v>MONDP</v>
      </c>
      <c r="F687" s="3" t="str">
        <f>_xlfn.XLOOKUP(Table3[[#This Row],[Location ]], Table1[Location],Table1[SVG Location],0,0)</f>
        <v>DH_400</v>
      </c>
      <c r="G687" s="3" t="s">
        <v>1617</v>
      </c>
    </row>
    <row r="688" spans="1:7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tr">
        <f>_xlfn.XLOOKUP(Table3[[#This Row],[Location ]],Table1[Location],Table1[Oracle Location],0,0)</f>
        <v>MONDP</v>
      </c>
      <c r="F688" s="3" t="str">
        <f>_xlfn.XLOOKUP(Table3[[#This Row],[Location ]], Table1[Location],Table1[SVG Location],0,0)</f>
        <v>DH_400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tr">
        <f>_xlfn.XLOOKUP(Table3[[#This Row],[Location ]],Table1[Location],Table1[Oracle Location],0,0)</f>
        <v>MON-AFC</v>
      </c>
      <c r="F689" s="3" t="str">
        <f>_xlfn.XLOOKUP(Table3[[#This Row],[Location ]], Table1[Location],Table1[SVG Location],0,0)</f>
        <v>AFC</v>
      </c>
      <c r="G689" s="3" t="s">
        <v>1614</v>
      </c>
    </row>
    <row r="690" spans="1:7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tr">
        <f>_xlfn.XLOOKUP(Table3[[#This Row],[Location ]],Table1[Location],Table1[Oracle Location],0,0)</f>
        <v>MONMC</v>
      </c>
      <c r="F690" s="3" t="str">
        <f>_xlfn.XLOOKUP(Table3[[#This Row],[Location ]], Table1[Location],Table1[SVG Location],0,0)</f>
        <v>MC</v>
      </c>
      <c r="G690" s="3" t="s">
        <v>1615</v>
      </c>
    </row>
    <row r="691" spans="1:7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tr">
        <f>_xlfn.XLOOKUP(Table3[[#This Row],[Location ]],Table1[Location],Table1[Oracle Location],0,0)</f>
        <v>MONDP</v>
      </c>
      <c r="F691" s="3" t="str">
        <f>_xlfn.XLOOKUP(Table3[[#This Row],[Location ]], Table1[Location],Table1[SVG Location],0,0)</f>
        <v>DH_400</v>
      </c>
      <c r="G691" s="3" t="s">
        <v>1613</v>
      </c>
    </row>
    <row r="692" spans="1:7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tr">
        <f>_xlfn.XLOOKUP(Table3[[#This Row],[Location ]],Table1[Location],Table1[Oracle Location],0,0)</f>
        <v>MONDP</v>
      </c>
      <c r="F692" s="3" t="str">
        <f>_xlfn.XLOOKUP(Table3[[#This Row],[Location ]], Table1[Location],Table1[SVG Location],0,0)</f>
        <v>DH_400</v>
      </c>
      <c r="G692" s="3" t="s">
        <v>1613</v>
      </c>
    </row>
    <row r="693" spans="1:7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tr">
        <f>_xlfn.XLOOKUP(Table3[[#This Row],[Location ]],Table1[Location],Table1[Oracle Location],0,0)</f>
        <v>MONDP</v>
      </c>
      <c r="F693" s="3" t="str">
        <f>_xlfn.XLOOKUP(Table3[[#This Row],[Location ]], Table1[Location],Table1[SVG Location],0,0)</f>
        <v>DH_400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tr">
        <f>_xlfn.XLOOKUP(Table3[[#This Row],[Location ]],Table1[Location],Table1[Oracle Location],0,0)</f>
        <v>MONSKID</v>
      </c>
      <c r="F694" s="3" t="str">
        <f>_xlfn.XLOOKUP(Table3[[#This Row],[Location ]], Table1[Location],Table1[SVG Location],0,0)</f>
        <v>SKID</v>
      </c>
      <c r="G694" s="3" t="s">
        <v>1614</v>
      </c>
    </row>
    <row r="695" spans="1:7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tr">
        <f>_xlfn.XLOOKUP(Table3[[#This Row],[Location ]],Table1[Location],Table1[Oracle Location],0,0)</f>
        <v>MONXDU100</v>
      </c>
      <c r="F695" s="3" t="str">
        <f>_xlfn.XLOOKUP(Table3[[#This Row],[Location ]], Table1[Location],Table1[SVG Location],0,0)</f>
        <v>XDU_100</v>
      </c>
      <c r="G695" s="3" t="s">
        <v>1613</v>
      </c>
    </row>
    <row r="696" spans="1:7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tr">
        <f>_xlfn.XLOOKUP(Table3[[#This Row],[Location ]],Table1[Location],Table1[Oracle Location],0,0)</f>
        <v>MONPRE</v>
      </c>
      <c r="F696" s="3" t="str">
        <f>_xlfn.XLOOKUP(Table3[[#This Row],[Location ]], Table1[Location],Table1[SVG Location],0,0)</f>
        <v>PRE_L1</v>
      </c>
      <c r="G696" s="3" t="s">
        <v>1615</v>
      </c>
    </row>
    <row r="697" spans="1:7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tr">
        <f>_xlfn.XLOOKUP(Table3[[#This Row],[Location ]],Table1[Location],Table1[Oracle Location],0,0)</f>
        <v>MONEP</v>
      </c>
      <c r="F697" s="3" t="str">
        <f>_xlfn.XLOOKUP(Table3[[#This Row],[Location ]], Table1[Location],Table1[SVG Location],0,0)</f>
        <v>EP</v>
      </c>
      <c r="G697" s="3" t="s">
        <v>1615</v>
      </c>
    </row>
    <row r="698" spans="1:7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tr">
        <f>_xlfn.XLOOKUP(Table3[[#This Row],[Location ]],Table1[Location],Table1[Oracle Location],0,0)</f>
        <v>SHIP</v>
      </c>
      <c r="F698" s="3" t="str">
        <f>_xlfn.XLOOKUP(Table3[[#This Row],[Location ]], Table1[Location],Table1[SVG Location],0,0)</f>
        <v>SHIP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tr">
        <f>_xlfn.XLOOKUP(Table3[[#This Row],[Location ]],Table1[Location],Table1[Oracle Location],0,0)</f>
        <v>MONDP</v>
      </c>
      <c r="F699" s="3" t="str">
        <f>_xlfn.XLOOKUP(Table3[[#This Row],[Location ]], Table1[Location],Table1[SVG Location],0,0)</f>
        <v>DH_400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tr">
        <f>_xlfn.XLOOKUP(Table3[[#This Row],[Location ]],Table1[Location],Table1[Oracle Location],0,0)</f>
        <v>MONMC</v>
      </c>
      <c r="F700" s="3" t="str">
        <f>_xlfn.XLOOKUP(Table3[[#This Row],[Location ]], Table1[Location],Table1[SVG Location],0,0)</f>
        <v>MC</v>
      </c>
      <c r="G700" s="3" t="s">
        <v>1614</v>
      </c>
    </row>
    <row r="701" spans="1:7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tr">
        <f>_xlfn.XLOOKUP(Table3[[#This Row],[Location ]],Table1[Location],Table1[Oracle Location],0,0)</f>
        <v>MONDP</v>
      </c>
      <c r="F701" s="3" t="str">
        <f>_xlfn.XLOOKUP(Table3[[#This Row],[Location ]], Table1[Location],Table1[SVG Location],0,0)</f>
        <v>DH_400</v>
      </c>
      <c r="G701" s="3" t="s">
        <v>1615</v>
      </c>
    </row>
    <row r="702" spans="1:7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tr">
        <f>_xlfn.XLOOKUP(Table3[[#This Row],[Location ]],Table1[Location],Table1[Oracle Location],0,0)</f>
        <v>MONDA</v>
      </c>
      <c r="F702" s="3" t="str">
        <f>_xlfn.XLOOKUP(Table3[[#This Row],[Location ]], Table1[Location],Table1[SVG Location],0,0)</f>
        <v>MONDA</v>
      </c>
      <c r="G702" s="3" t="s">
        <v>1617</v>
      </c>
    </row>
    <row r="703" spans="1:7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tr">
        <f>_xlfn.XLOOKUP(Table3[[#This Row],[Location ]],Table1[Location],Table1[Oracle Location],0,0)</f>
        <v>MONXDU</v>
      </c>
      <c r="F703" s="3" t="str">
        <f>_xlfn.XLOOKUP(Table3[[#This Row],[Location ]], Table1[Location],Table1[SVG Location],0,0)</f>
        <v>XDU_1350</v>
      </c>
      <c r="G703" s="3" t="s">
        <v>1615</v>
      </c>
    </row>
    <row r="704" spans="1:7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tr">
        <f>_xlfn.XLOOKUP(Table3[[#This Row],[Location ]],Table1[Location],Table1[Oracle Location],0,0)</f>
        <v>MONEP</v>
      </c>
      <c r="F704" s="3" t="str">
        <f>_xlfn.XLOOKUP(Table3[[#This Row],[Location ]], Table1[Location],Table1[SVG Location],0,0)</f>
        <v>EP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f>_xlfn.XLOOKUP(Table3[[#This Row],[Location ]],Table1[Location],Table1[Oracle Location],0,0)</f>
        <v>0</v>
      </c>
      <c r="F705" s="3">
        <f>_xlfn.XLOOKUP(Table3[[#This Row],[Location ]], Table1[Location],Table1[SVG Location],0,0)</f>
        <v>0</v>
      </c>
      <c r="G705" s="3" t="s">
        <v>1614</v>
      </c>
    </row>
    <row r="706" spans="1:7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tr">
        <f>_xlfn.XLOOKUP(Table3[[#This Row],[Location ]],Table1[Location],Table1[Oracle Location],0,0)</f>
        <v>MONSM</v>
      </c>
      <c r="F706" s="3" t="str">
        <f>_xlfn.XLOOKUP(Table3[[#This Row],[Location ]], Table1[Location],Table1[SVG Location],0,0)</f>
        <v>Sheet_Metal</v>
      </c>
      <c r="G706" s="3" t="s">
        <v>1617</v>
      </c>
    </row>
    <row r="707" spans="1:7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tr">
        <f>_xlfn.XLOOKUP(Table3[[#This Row],[Location ]],Table1[Location],Table1[Oracle Location],0,0)</f>
        <v>MONDA</v>
      </c>
      <c r="F707" s="3" t="str">
        <f>_xlfn.XLOOKUP(Table3[[#This Row],[Location ]], Table1[Location],Table1[SVG Location],0,0)</f>
        <v>MONDA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tr">
        <f>_xlfn.XLOOKUP(Table3[[#This Row],[Location ]],Table1[Location],Table1[Oracle Location],0,0)</f>
        <v>MTY 1, MTY1</v>
      </c>
      <c r="F708" s="3" t="str">
        <f>_xlfn.XLOOKUP(Table3[[#This Row],[Location ]], Table1[Location],Table1[SVG Location],0,0)</f>
        <v>Warehouse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tr">
        <f>_xlfn.XLOOKUP(Table3[[#This Row],[Location ]],Table1[Location],Table1[Oracle Location],0,0)</f>
        <v>MONEP</v>
      </c>
      <c r="F709" s="3" t="str">
        <f>_xlfn.XLOOKUP(Table3[[#This Row],[Location ]], Table1[Location],Table1[SVG Location],0,0)</f>
        <v>EP</v>
      </c>
      <c r="G709" s="3" t="s">
        <v>1616</v>
      </c>
    </row>
    <row r="710" spans="1:7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tr">
        <f>_xlfn.XLOOKUP(Table3[[#This Row],[Location ]],Table1[Location],Table1[Oracle Location],0,0)</f>
        <v>MONXDU100</v>
      </c>
      <c r="F710" s="3" t="str">
        <f>_xlfn.XLOOKUP(Table3[[#This Row],[Location ]], Table1[Location],Table1[SVG Location],0,0)</f>
        <v>XDU_100</v>
      </c>
      <c r="G710" s="3" t="s">
        <v>1615</v>
      </c>
    </row>
    <row r="711" spans="1:7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tr">
        <f>_xlfn.XLOOKUP(Table3[[#This Row],[Location ]],Table1[Location],Table1[Oracle Location],0,0)</f>
        <v>MONEP</v>
      </c>
      <c r="F711" s="3" t="str">
        <f>_xlfn.XLOOKUP(Table3[[#This Row],[Location ]], Table1[Location],Table1[SVG Location],0,0)</f>
        <v>EP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tr">
        <f>_xlfn.XLOOKUP(Table3[[#This Row],[Location ]],Table1[Location],Table1[Oracle Location],0,0)</f>
        <v>MONXDU100</v>
      </c>
      <c r="F712" s="3" t="str">
        <f>_xlfn.XLOOKUP(Table3[[#This Row],[Location ]], Table1[Location],Table1[SVG Location],0,0)</f>
        <v>XDU_100</v>
      </c>
      <c r="G712" s="3" t="s">
        <v>1614</v>
      </c>
    </row>
    <row r="713" spans="1:7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tr">
        <f>_xlfn.XLOOKUP(Table3[[#This Row],[Location ]],Table1[Location],Table1[Oracle Location],0,0)</f>
        <v>MONXDU100</v>
      </c>
      <c r="F713" s="3" t="str">
        <f>_xlfn.XLOOKUP(Table3[[#This Row],[Location ]], Table1[Location],Table1[SVG Location],0,0)</f>
        <v>XDU_100</v>
      </c>
      <c r="G713" s="3" t="s">
        <v>1615</v>
      </c>
    </row>
    <row r="714" spans="1:7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tr">
        <f>_xlfn.XLOOKUP(Table3[[#This Row],[Location ]],Table1[Location],Table1[Oracle Location],0,0)</f>
        <v>MONXDU100</v>
      </c>
      <c r="F714" s="3" t="str">
        <f>_xlfn.XLOOKUP(Table3[[#This Row],[Location ]], Table1[Location],Table1[SVG Location],0,0)</f>
        <v>XDU_100</v>
      </c>
      <c r="G714" s="3" t="s">
        <v>1613</v>
      </c>
    </row>
    <row r="715" spans="1:7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tr">
        <f>_xlfn.XLOOKUP(Table3[[#This Row],[Location ]],Table1[Location],Table1[Oracle Location],0,0)</f>
        <v>MONEP</v>
      </c>
      <c r="F715" s="3" t="str">
        <f>_xlfn.XLOOKUP(Table3[[#This Row],[Location ]], Table1[Location],Table1[SVG Location],0,0)</f>
        <v>EP</v>
      </c>
      <c r="G715" s="3" t="s">
        <v>1613</v>
      </c>
    </row>
    <row r="716" spans="1:7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tr">
        <f>_xlfn.XLOOKUP(Table3[[#This Row],[Location ]],Table1[Location],Table1[Oracle Location],0,0)</f>
        <v>MONDP</v>
      </c>
      <c r="F716" s="3" t="str">
        <f>_xlfn.XLOOKUP(Table3[[#This Row],[Location ]], Table1[Location],Table1[SVG Location],0,0)</f>
        <v>DH_400</v>
      </c>
      <c r="G716" s="3" t="s">
        <v>1615</v>
      </c>
    </row>
    <row r="717" spans="1:7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tr">
        <f>_xlfn.XLOOKUP(Table3[[#This Row],[Location ]],Table1[Location],Table1[Oracle Location],0,0)</f>
        <v>MONXDU</v>
      </c>
      <c r="F717" s="3" t="str">
        <f>_xlfn.XLOOKUP(Table3[[#This Row],[Location ]], Table1[Location],Table1[SVG Location],0,0)</f>
        <v>XDU_1350</v>
      </c>
      <c r="G717" s="3" t="s">
        <v>1613</v>
      </c>
    </row>
    <row r="718" spans="1:7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tr">
        <f>_xlfn.XLOOKUP(Table3[[#This Row],[Location ]],Table1[Location],Table1[Oracle Location],0,0)</f>
        <v>MONXDU</v>
      </c>
      <c r="F718" s="3" t="str">
        <f>_xlfn.XLOOKUP(Table3[[#This Row],[Location ]], Table1[Location],Table1[SVG Location],0,0)</f>
        <v>XDU_1350</v>
      </c>
      <c r="G718" s="3" t="s">
        <v>1613</v>
      </c>
    </row>
    <row r="719" spans="1:7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tr">
        <f>_xlfn.XLOOKUP(Table3[[#This Row],[Location ]],Table1[Location],Table1[Oracle Location],0,0)</f>
        <v>MONBLW</v>
      </c>
      <c r="F719" s="3" t="str">
        <f>_xlfn.XLOOKUP(Table3[[#This Row],[Location ]], Table1[Location],Table1[SVG Location],0,0)</f>
        <v>Blower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tr">
        <f>_xlfn.XLOOKUP(Table3[[#This Row],[Location ]],Table1[Location],Table1[Oracle Location],0,0)</f>
        <v>MTY3</v>
      </c>
      <c r="F720" s="3" t="str">
        <f>_xlfn.XLOOKUP(Table3[[#This Row],[Location ]], Table1[Location],Table1[SVG Location],0,0)</f>
        <v>MTY3</v>
      </c>
      <c r="G720" s="3" t="s">
        <v>1614</v>
      </c>
    </row>
    <row r="721" spans="1:7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tr">
        <f>_xlfn.XLOOKUP(Table3[[#This Row],[Location ]],Table1[Location],Table1[Oracle Location],0,0)</f>
        <v>MONDP</v>
      </c>
      <c r="F721" s="3" t="str">
        <f>_xlfn.XLOOKUP(Table3[[#This Row],[Location ]], Table1[Location],Table1[SVG Location],0,0)</f>
        <v>DH_400</v>
      </c>
      <c r="G721" s="3" t="s">
        <v>1613</v>
      </c>
    </row>
    <row r="722" spans="1:7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tr">
        <f>_xlfn.XLOOKUP(Table3[[#This Row],[Location ]],Table1[Location],Table1[Oracle Location],0,0)</f>
        <v>MONEP</v>
      </c>
      <c r="F722" s="3" t="str">
        <f>_xlfn.XLOOKUP(Table3[[#This Row],[Location ]], Table1[Location],Table1[SVG Location],0,0)</f>
        <v>EP</v>
      </c>
      <c r="G722" s="3" t="s">
        <v>1617</v>
      </c>
    </row>
    <row r="723" spans="1:7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tr">
        <f>_xlfn.XLOOKUP(Table3[[#This Row],[Location ]],Table1[Location],Table1[Oracle Location],0,0)</f>
        <v>MONMC</v>
      </c>
      <c r="F723" s="3" t="str">
        <f>_xlfn.XLOOKUP(Table3[[#This Row],[Location ]], Table1[Location],Table1[SVG Location],0,0)</f>
        <v>MC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tr">
        <f>_xlfn.XLOOKUP(Table3[[#This Row],[Location ]],Table1[Location],Table1[Oracle Location],0,0)</f>
        <v>MONSKID</v>
      </c>
      <c r="F724" s="3" t="str">
        <f>_xlfn.XLOOKUP(Table3[[#This Row],[Location ]], Table1[Location],Table1[SVG Location],0,0)</f>
        <v>SKID</v>
      </c>
      <c r="G724" s="3" t="s">
        <v>1616</v>
      </c>
    </row>
    <row r="725" spans="1:7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tr">
        <f>_xlfn.XLOOKUP(Table3[[#This Row],[Location ]],Table1[Location],Table1[Oracle Location],0,0)</f>
        <v>MONXDU100</v>
      </c>
      <c r="F725" s="3" t="str">
        <f>_xlfn.XLOOKUP(Table3[[#This Row],[Location ]], Table1[Location],Table1[SVG Location],0,0)</f>
        <v>XDU_100</v>
      </c>
      <c r="G725" s="3" t="s">
        <v>1615</v>
      </c>
    </row>
    <row r="726" spans="1:7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tr">
        <f>_xlfn.XLOOKUP(Table3[[#This Row],[Location ]],Table1[Location],Table1[Oracle Location],0,0)</f>
        <v>MONMC</v>
      </c>
      <c r="F726" s="3" t="str">
        <f>_xlfn.XLOOKUP(Table3[[#This Row],[Location ]], Table1[Location],Table1[SVG Location],0,0)</f>
        <v>MC</v>
      </c>
      <c r="G726" s="3" t="s">
        <v>1615</v>
      </c>
    </row>
    <row r="727" spans="1:7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tr">
        <f>_xlfn.XLOOKUP(Table3[[#This Row],[Location ]],Table1[Location],Table1[Oracle Location],0,0)</f>
        <v>MONMC</v>
      </c>
      <c r="F727" s="3" t="str">
        <f>_xlfn.XLOOKUP(Table3[[#This Row],[Location ]], Table1[Location],Table1[SVG Location],0,0)</f>
        <v>MC</v>
      </c>
      <c r="G727" s="3" t="s">
        <v>1617</v>
      </c>
    </row>
    <row r="728" spans="1:7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tr">
        <f>_xlfn.XLOOKUP(Table3[[#This Row],[Location ]],Table1[Location],Table1[Oracle Location],0,0)</f>
        <v>MONEP</v>
      </c>
      <c r="F728" s="3" t="str">
        <f>_xlfn.XLOOKUP(Table3[[#This Row],[Location ]], Table1[Location],Table1[SVG Location],0,0)</f>
        <v>EP</v>
      </c>
      <c r="G728" s="3" t="s">
        <v>1617</v>
      </c>
    </row>
    <row r="729" spans="1:7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tr">
        <f>_xlfn.XLOOKUP(Table3[[#This Row],[Location ]],Table1[Location],Table1[Oracle Location],0,0)</f>
        <v>MONMC</v>
      </c>
      <c r="F729" s="3" t="str">
        <f>_xlfn.XLOOKUP(Table3[[#This Row],[Location ]], Table1[Location],Table1[SVG Location],0,0)</f>
        <v>MC</v>
      </c>
      <c r="G729" s="3" t="s">
        <v>1617</v>
      </c>
    </row>
    <row r="730" spans="1:7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tr">
        <f>_xlfn.XLOOKUP(Table3[[#This Row],[Location ]],Table1[Location],Table1[Oracle Location],0,0)</f>
        <v>MONMC</v>
      </c>
      <c r="F730" s="3" t="str">
        <f>_xlfn.XLOOKUP(Table3[[#This Row],[Location ]], Table1[Location],Table1[SVG Location],0,0)</f>
        <v>MC</v>
      </c>
      <c r="G730" s="3" t="s">
        <v>1615</v>
      </c>
    </row>
    <row r="731" spans="1:7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tr">
        <f>_xlfn.XLOOKUP(Table3[[#This Row],[Location ]],Table1[Location],Table1[Oracle Location],0,0)</f>
        <v>MONXDU</v>
      </c>
      <c r="F731" s="3" t="str">
        <f>_xlfn.XLOOKUP(Table3[[#This Row],[Location ]], Table1[Location],Table1[SVG Location],0,0)</f>
        <v>XDU_1350</v>
      </c>
      <c r="G731" s="3" t="s">
        <v>1617</v>
      </c>
    </row>
    <row r="732" spans="1:7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tr">
        <f>_xlfn.XLOOKUP(Table3[[#This Row],[Location ]],Table1[Location],Table1[Oracle Location],0,0)</f>
        <v>MONSKID</v>
      </c>
      <c r="F732" s="3" t="str">
        <f>_xlfn.XLOOKUP(Table3[[#This Row],[Location ]], Table1[Location],Table1[SVG Location],0,0)</f>
        <v>SKID</v>
      </c>
      <c r="G732" s="3" t="s">
        <v>1617</v>
      </c>
    </row>
    <row r="733" spans="1:7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tr">
        <f>_xlfn.XLOOKUP(Table3[[#This Row],[Location ]],Table1[Location],Table1[Oracle Location],0,0)</f>
        <v>SHIP</v>
      </c>
      <c r="F733" s="3" t="str">
        <f>_xlfn.XLOOKUP(Table3[[#This Row],[Location ]], Table1[Location],Table1[SVG Location],0,0)</f>
        <v>SHIP</v>
      </c>
      <c r="G733" s="3" t="s">
        <v>1617</v>
      </c>
    </row>
    <row r="734" spans="1:7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tr">
        <f>_xlfn.XLOOKUP(Table3[[#This Row],[Location ]],Table1[Location],Table1[Oracle Location],0,0)</f>
        <v>MONDP</v>
      </c>
      <c r="F734" s="3" t="str">
        <f>_xlfn.XLOOKUP(Table3[[#This Row],[Location ]], Table1[Location],Table1[SVG Location],0,0)</f>
        <v>DH_400</v>
      </c>
      <c r="G734" s="3" t="s">
        <v>1613</v>
      </c>
    </row>
    <row r="735" spans="1:7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tr">
        <f>_xlfn.XLOOKUP(Table3[[#This Row],[Location ]],Table1[Location],Table1[Oracle Location],0,0)</f>
        <v>MONDP</v>
      </c>
      <c r="F735" s="3" t="str">
        <f>_xlfn.XLOOKUP(Table3[[#This Row],[Location ]], Table1[Location],Table1[SVG Location],0,0)</f>
        <v>DH_400</v>
      </c>
      <c r="G735" s="3" t="s">
        <v>1617</v>
      </c>
    </row>
    <row r="736" spans="1:7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tr">
        <f>_xlfn.XLOOKUP(Table3[[#This Row],[Location ]],Table1[Location],Table1[Oracle Location],0,0)</f>
        <v>MONXDM</v>
      </c>
      <c r="F736" s="3" t="str">
        <f>_xlfn.XLOOKUP(Table3[[#This Row],[Location ]], Table1[Location],Table1[SVG Location],0,0)</f>
        <v>XDM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tr">
        <f>_xlfn.XLOOKUP(Table3[[#This Row],[Location ]],Table1[Location],Table1[Oracle Location],0,0)</f>
        <v>MONXDM</v>
      </c>
      <c r="F737" s="3" t="str">
        <f>_xlfn.XLOOKUP(Table3[[#This Row],[Location ]], Table1[Location],Table1[SVG Location],0,0)</f>
        <v>XDM</v>
      </c>
      <c r="G737" s="3" t="s">
        <v>1614</v>
      </c>
    </row>
    <row r="738" spans="1:7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tr">
        <f>_xlfn.XLOOKUP(Table3[[#This Row],[Location ]],Table1[Location],Table1[Oracle Location],0,0)</f>
        <v>MONDP</v>
      </c>
      <c r="F738" s="3" t="str">
        <f>_xlfn.XLOOKUP(Table3[[#This Row],[Location ]], Table1[Location],Table1[SVG Location],0,0)</f>
        <v>DH_400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f>_xlfn.XLOOKUP(Table3[[#This Row],[Location ]],Table1[Location],Table1[Oracle Location],0,0)</f>
        <v>0</v>
      </c>
      <c r="F739" s="3">
        <f>_xlfn.XLOOKUP(Table3[[#This Row],[Location ]], Table1[Location],Table1[SVG Location],0,0)</f>
        <v>0</v>
      </c>
      <c r="G739" s="3" t="s">
        <v>1614</v>
      </c>
    </row>
    <row r="740" spans="1:7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tr">
        <f>_xlfn.XLOOKUP(Table3[[#This Row],[Location ]],Table1[Location],Table1[Oracle Location],0,0)</f>
        <v>MONCOILS</v>
      </c>
      <c r="F740" s="3" t="str">
        <f>_xlfn.XLOOKUP(Table3[[#This Row],[Location ]], Table1[Location],Table1[SVG Location],0,0)</f>
        <v>Coils_Shop</v>
      </c>
      <c r="G740" s="3" t="s">
        <v>1613</v>
      </c>
    </row>
    <row r="741" spans="1:7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tr">
        <f>_xlfn.XLOOKUP(Table3[[#This Row],[Location ]],Table1[Location],Table1[Oracle Location],0,0)</f>
        <v>MONDP</v>
      </c>
      <c r="F741" s="3" t="str">
        <f>_xlfn.XLOOKUP(Table3[[#This Row],[Location ]], Table1[Location],Table1[SVG Location],0,0)</f>
        <v>DH_400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tr">
        <f>_xlfn.XLOOKUP(Table3[[#This Row],[Location ]],Table1[Location],Table1[Oracle Location],0,0)</f>
        <v>MONMC</v>
      </c>
      <c r="F742" s="3" t="str">
        <f>_xlfn.XLOOKUP(Table3[[#This Row],[Location ]], Table1[Location],Table1[SVG Location],0,0)</f>
        <v>MC</v>
      </c>
      <c r="G742" s="3" t="s">
        <v>1616</v>
      </c>
    </row>
    <row r="743" spans="1:7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tr">
        <f>_xlfn.XLOOKUP(Table3[[#This Row],[Location ]],Table1[Location],Table1[Oracle Location],0,0)</f>
        <v>MONXDU</v>
      </c>
      <c r="F743" s="3" t="str">
        <f>_xlfn.XLOOKUP(Table3[[#This Row],[Location ]], Table1[Location],Table1[SVG Location],0,0)</f>
        <v>XDU_1350</v>
      </c>
      <c r="G743" s="3" t="s">
        <v>1617</v>
      </c>
    </row>
    <row r="744" spans="1:7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tr">
        <f>_xlfn.XLOOKUP(Table3[[#This Row],[Location ]],Table1[Location],Table1[Oracle Location],0,0)</f>
        <v>SHIP</v>
      </c>
      <c r="F744" s="3" t="str">
        <f>_xlfn.XLOOKUP(Table3[[#This Row],[Location ]], Table1[Location],Table1[SVG Location],0,0)</f>
        <v>SHIP</v>
      </c>
      <c r="G744" s="3" t="s">
        <v>1617</v>
      </c>
    </row>
    <row r="745" spans="1:7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tr">
        <f>_xlfn.XLOOKUP(Table3[[#This Row],[Location ]],Table1[Location],Table1[Oracle Location],0,0)</f>
        <v>MONCOILS</v>
      </c>
      <c r="F745" s="3" t="str">
        <f>_xlfn.XLOOKUP(Table3[[#This Row],[Location ]], Table1[Location],Table1[SVG Location],0,0)</f>
        <v>Coils_Shop</v>
      </c>
      <c r="G745" s="3" t="s">
        <v>1613</v>
      </c>
    </row>
    <row r="746" spans="1:7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tr">
        <f>_xlfn.XLOOKUP(Table3[[#This Row],[Location ]],Table1[Location],Table1[Oracle Location],0,0)</f>
        <v>MONDP</v>
      </c>
      <c r="F746" s="3" t="str">
        <f>_xlfn.XLOOKUP(Table3[[#This Row],[Location ]], Table1[Location],Table1[SVG Location],0,0)</f>
        <v>DH_400</v>
      </c>
      <c r="G746" s="3" t="s">
        <v>1617</v>
      </c>
    </row>
    <row r="747" spans="1:7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tr">
        <f>_xlfn.XLOOKUP(Table3[[#This Row],[Location ]],Table1[Location],Table1[Oracle Location],0,0)</f>
        <v>MONDP</v>
      </c>
      <c r="F747" s="3" t="str">
        <f>_xlfn.XLOOKUP(Table3[[#This Row],[Location ]], Table1[Location],Table1[SVG Location],0,0)</f>
        <v>DH_400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tr">
        <f>_xlfn.XLOOKUP(Table3[[#This Row],[Location ]],Table1[Location],Table1[Oracle Location],0,0)</f>
        <v>MONBLW</v>
      </c>
      <c r="F748" s="3" t="str">
        <f>_xlfn.XLOOKUP(Table3[[#This Row],[Location ]], Table1[Location],Table1[SVG Location],0,0)</f>
        <v>Blower</v>
      </c>
      <c r="G748" s="3" t="s">
        <v>1616</v>
      </c>
    </row>
    <row r="749" spans="1:7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tr">
        <f>_xlfn.XLOOKUP(Table3[[#This Row],[Location ]],Table1[Location],Table1[Oracle Location],0,0)</f>
        <v>MONDP</v>
      </c>
      <c r="F749" s="3" t="str">
        <f>_xlfn.XLOOKUP(Table3[[#This Row],[Location ]], Table1[Location],Table1[SVG Location],0,0)</f>
        <v>DH_400</v>
      </c>
      <c r="G749" s="3" t="s">
        <v>1615</v>
      </c>
    </row>
    <row r="750" spans="1:7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tr">
        <f>_xlfn.XLOOKUP(Table3[[#This Row],[Location ]],Table1[Location],Table1[Oracle Location],0,0)</f>
        <v>MONPRE</v>
      </c>
      <c r="F750" s="3" t="str">
        <f>_xlfn.XLOOKUP(Table3[[#This Row],[Location ]], Table1[Location],Table1[SVG Location],0,0)</f>
        <v>PRE_L1</v>
      </c>
      <c r="G750" s="3" t="s">
        <v>1617</v>
      </c>
    </row>
    <row r="751" spans="1:7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tr">
        <f>_xlfn.XLOOKUP(Table3[[#This Row],[Location ]],Table1[Location],Table1[Oracle Location],0,0)</f>
        <v>MONDA</v>
      </c>
      <c r="F751" s="3" t="str">
        <f>_xlfn.XLOOKUP(Table3[[#This Row],[Location ]], Table1[Location],Table1[SVG Location],0,0)</f>
        <v>MONDA</v>
      </c>
      <c r="G751" s="3" t="s">
        <v>1617</v>
      </c>
    </row>
    <row r="752" spans="1:7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tr">
        <f>_xlfn.XLOOKUP(Table3[[#This Row],[Location ]],Table1[Location],Table1[Oracle Location],0,0)</f>
        <v>MONMC</v>
      </c>
      <c r="F752" s="3" t="str">
        <f>_xlfn.XLOOKUP(Table3[[#This Row],[Location ]], Table1[Location],Table1[SVG Location],0,0)</f>
        <v>MC</v>
      </c>
      <c r="G752" s="3" t="s">
        <v>1615</v>
      </c>
    </row>
    <row r="753" spans="1:7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tr">
        <f>_xlfn.XLOOKUP(Table3[[#This Row],[Location ]],Table1[Location],Table1[Oracle Location],0,0)</f>
        <v>MONDP</v>
      </c>
      <c r="F753" s="3" t="str">
        <f>_xlfn.XLOOKUP(Table3[[#This Row],[Location ]], Table1[Location],Table1[SVG Location],0,0)</f>
        <v>DH_400</v>
      </c>
      <c r="G753" s="3" t="s">
        <v>1617</v>
      </c>
    </row>
    <row r="754" spans="1:7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tr">
        <f>_xlfn.XLOOKUP(Table3[[#This Row],[Location ]],Table1[Location],Table1[Oracle Location],0,0)</f>
        <v>MTY 1, MTY1</v>
      </c>
      <c r="F754" s="3" t="str">
        <f>_xlfn.XLOOKUP(Table3[[#This Row],[Location ]], Table1[Location],Table1[SVG Location],0,0)</f>
        <v>Warehouse</v>
      </c>
      <c r="G754" s="3" t="s">
        <v>1613</v>
      </c>
    </row>
    <row r="755" spans="1:7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tr">
        <f>_xlfn.XLOOKUP(Table3[[#This Row],[Location ]],Table1[Location],Table1[Oracle Location],0,0)</f>
        <v>MONDA</v>
      </c>
      <c r="F755" s="3" t="str">
        <f>_xlfn.XLOOKUP(Table3[[#This Row],[Location ]], Table1[Location],Table1[SVG Location],0,0)</f>
        <v>MONDA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tr">
        <f>_xlfn.XLOOKUP(Table3[[#This Row],[Location ]],Table1[Location],Table1[Oracle Location],0,0)</f>
        <v>MTY 1, MTY1</v>
      </c>
      <c r="F756" s="3" t="str">
        <f>_xlfn.XLOOKUP(Table3[[#This Row],[Location ]], Table1[Location],Table1[SVG Location],0,0)</f>
        <v>Warehouse</v>
      </c>
      <c r="G756" s="3" t="s">
        <v>1614</v>
      </c>
    </row>
    <row r="757" spans="1:7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tr">
        <f>_xlfn.XLOOKUP(Table3[[#This Row],[Location ]],Table1[Location],Table1[Oracle Location],0,0)</f>
        <v>MONDP</v>
      </c>
      <c r="F757" s="3" t="str">
        <f>_xlfn.XLOOKUP(Table3[[#This Row],[Location ]], Table1[Location],Table1[SVG Location],0,0)</f>
        <v>DH_400</v>
      </c>
      <c r="G757" s="3" t="s">
        <v>1617</v>
      </c>
    </row>
    <row r="758" spans="1:7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tr">
        <f>_xlfn.XLOOKUP(Table3[[#This Row],[Location ]],Table1[Location],Table1[Oracle Location],0,0)</f>
        <v>MONXDU100</v>
      </c>
      <c r="F758" s="3" t="str">
        <f>_xlfn.XLOOKUP(Table3[[#This Row],[Location ]], Table1[Location],Table1[SVG Location],0,0)</f>
        <v>XDU_100</v>
      </c>
      <c r="G758" s="3" t="s">
        <v>1615</v>
      </c>
    </row>
    <row r="759" spans="1:7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tr">
        <f>_xlfn.XLOOKUP(Table3[[#This Row],[Location ]],Table1[Location],Table1[Oracle Location],0,0)</f>
        <v>MONCOILS</v>
      </c>
      <c r="F759" s="3" t="str">
        <f>_xlfn.XLOOKUP(Table3[[#This Row],[Location ]], Table1[Location],Table1[SVG Location],0,0)</f>
        <v>Coils_Shop</v>
      </c>
      <c r="G759" s="3" t="s">
        <v>1617</v>
      </c>
    </row>
    <row r="760" spans="1:7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tr">
        <f>_xlfn.XLOOKUP(Table3[[#This Row],[Location ]],Table1[Location],Table1[Oracle Location],0,0)</f>
        <v>MONXDU</v>
      </c>
      <c r="F760" s="3" t="str">
        <f>_xlfn.XLOOKUP(Table3[[#This Row],[Location ]], Table1[Location],Table1[SVG Location],0,0)</f>
        <v>XDU_1350</v>
      </c>
      <c r="G760" s="3" t="s">
        <v>1617</v>
      </c>
    </row>
    <row r="761" spans="1:7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tr">
        <f>_xlfn.XLOOKUP(Table3[[#This Row],[Location ]],Table1[Location],Table1[Oracle Location],0,0)</f>
        <v>MONBLW</v>
      </c>
      <c r="F761" s="3" t="str">
        <f>_xlfn.XLOOKUP(Table3[[#This Row],[Location ]], Table1[Location],Table1[SVG Location],0,0)</f>
        <v>Blower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tr">
        <f>_xlfn.XLOOKUP(Table3[[#This Row],[Location ]],Table1[Location],Table1[Oracle Location],0,0)</f>
        <v>MTY3</v>
      </c>
      <c r="F762" s="3" t="str">
        <f>_xlfn.XLOOKUP(Table3[[#This Row],[Location ]], Table1[Location],Table1[SVG Location],0,0)</f>
        <v>MTY3</v>
      </c>
      <c r="G762" s="3" t="s">
        <v>1614</v>
      </c>
    </row>
    <row r="763" spans="1:7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tr">
        <f>_xlfn.XLOOKUP(Table3[[#This Row],[Location ]],Table1[Location],Table1[Oracle Location],0,0)</f>
        <v>MONDP</v>
      </c>
      <c r="F763" s="3" t="str">
        <f>_xlfn.XLOOKUP(Table3[[#This Row],[Location ]], Table1[Location],Table1[SVG Location],0,0)</f>
        <v>DH_400</v>
      </c>
      <c r="G763" s="3" t="s">
        <v>1617</v>
      </c>
    </row>
    <row r="764" spans="1:7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tr">
        <f>_xlfn.XLOOKUP(Table3[[#This Row],[Location ]],Table1[Location],Table1[Oracle Location],0,0)</f>
        <v>MONMC</v>
      </c>
      <c r="F764" s="3" t="str">
        <f>_xlfn.XLOOKUP(Table3[[#This Row],[Location ]], Table1[Location],Table1[SVG Location],0,0)</f>
        <v>MC</v>
      </c>
      <c r="G764" s="3" t="s">
        <v>1617</v>
      </c>
    </row>
    <row r="765" spans="1:7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tr">
        <f>_xlfn.XLOOKUP(Table3[[#This Row],[Location ]],Table1[Location],Table1[Oracle Location],0,0)</f>
        <v>MONXDU</v>
      </c>
      <c r="F765" s="3" t="str">
        <f>_xlfn.XLOOKUP(Table3[[#This Row],[Location ]], Table1[Location],Table1[SVG Location],0,0)</f>
        <v>XDU_1350</v>
      </c>
      <c r="G765" s="3" t="s">
        <v>1617</v>
      </c>
    </row>
    <row r="766" spans="1:7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tr">
        <f>_xlfn.XLOOKUP(Table3[[#This Row],[Location ]],Table1[Location],Table1[Oracle Location],0,0)</f>
        <v>MONMC</v>
      </c>
      <c r="F766" s="3" t="str">
        <f>_xlfn.XLOOKUP(Table3[[#This Row],[Location ]], Table1[Location],Table1[SVG Location],0,0)</f>
        <v>MC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tr">
        <f>_xlfn.XLOOKUP(Table3[[#This Row],[Location ]],Table1[Location],Table1[Oracle Location],0,0)</f>
        <v>MTY3</v>
      </c>
      <c r="F767" s="3" t="str">
        <f>_xlfn.XLOOKUP(Table3[[#This Row],[Location ]], Table1[Location],Table1[SVG Location],0,0)</f>
        <v>MTY3</v>
      </c>
      <c r="G767" s="3" t="s">
        <v>1614</v>
      </c>
    </row>
    <row r="768" spans="1:7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tr">
        <f>_xlfn.XLOOKUP(Table3[[#This Row],[Location ]],Table1[Location],Table1[Oracle Location],0,0)</f>
        <v>MONMC</v>
      </c>
      <c r="F768" s="3" t="str">
        <f>_xlfn.XLOOKUP(Table3[[#This Row],[Location ]], Table1[Location],Table1[SVG Location],0,0)</f>
        <v>MC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tr">
        <f>_xlfn.XLOOKUP(Table3[[#This Row],[Location ]],Table1[Location],Table1[Oracle Location],0,0)</f>
        <v>MONPRE</v>
      </c>
      <c r="F769" s="3" t="str">
        <f>_xlfn.XLOOKUP(Table3[[#This Row],[Location ]], Table1[Location],Table1[SVG Location],0,0)</f>
        <v>PRE_L1</v>
      </c>
      <c r="G769" s="3" t="s">
        <v>1616</v>
      </c>
    </row>
    <row r="770" spans="1:7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tr">
        <f>_xlfn.XLOOKUP(Table3[[#This Row],[Location ]],Table1[Location],Table1[Oracle Location],0,0)</f>
        <v>MONBLW</v>
      </c>
      <c r="F770" s="3" t="str">
        <f>_xlfn.XLOOKUP(Table3[[#This Row],[Location ]], Table1[Location],Table1[SVG Location],0,0)</f>
        <v>Blower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f>_xlfn.XLOOKUP(Table3[[#This Row],[Location ]],Table1[Location],Table1[Oracle Location],0,0)</f>
        <v>0</v>
      </c>
      <c r="F771" s="3">
        <f>_xlfn.XLOOKUP(Table3[[#This Row],[Location ]], Table1[Location],Table1[SVG Location],0,0)</f>
        <v>0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tr">
        <f>_xlfn.XLOOKUP(Table3[[#This Row],[Location ]],Table1[Location],Table1[Oracle Location],0,0)</f>
        <v>MTY3</v>
      </c>
      <c r="F772" s="3" t="str">
        <f>_xlfn.XLOOKUP(Table3[[#This Row],[Location ]], Table1[Location],Table1[SVG Location],0,0)</f>
        <v>MTY3</v>
      </c>
      <c r="G772" s="3" t="s">
        <v>1614</v>
      </c>
    </row>
    <row r="773" spans="1:7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tr">
        <f>_xlfn.XLOOKUP(Table3[[#This Row],[Location ]],Table1[Location],Table1[Oracle Location],0,0)</f>
        <v>MONDP</v>
      </c>
      <c r="F773" s="3" t="str">
        <f>_xlfn.XLOOKUP(Table3[[#This Row],[Location ]], Table1[Location],Table1[SVG Location],0,0)</f>
        <v>DH_400</v>
      </c>
      <c r="G773" s="3" t="s">
        <v>1615</v>
      </c>
    </row>
    <row r="774" spans="1:7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tr">
        <f>_xlfn.XLOOKUP(Table3[[#This Row],[Location ]],Table1[Location],Table1[Oracle Location],0,0)</f>
        <v>MONPIPING</v>
      </c>
      <c r="F774" s="3" t="str">
        <f>_xlfn.XLOOKUP(Table3[[#This Row],[Location ]], Table1[Location],Table1[SVG Location],0,0)</f>
        <v>Piping</v>
      </c>
      <c r="G774" s="3" t="s">
        <v>1617</v>
      </c>
    </row>
    <row r="775" spans="1:7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tr">
        <f>_xlfn.XLOOKUP(Table3[[#This Row],[Location ]],Table1[Location],Table1[Oracle Location],0,0)</f>
        <v>MONMC</v>
      </c>
      <c r="F775" s="3" t="str">
        <f>_xlfn.XLOOKUP(Table3[[#This Row],[Location ]], Table1[Location],Table1[SVG Location],0,0)</f>
        <v>MC</v>
      </c>
      <c r="G775" s="3" t="s">
        <v>1615</v>
      </c>
    </row>
    <row r="776" spans="1:7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tr">
        <f>_xlfn.XLOOKUP(Table3[[#This Row],[Location ]],Table1[Location],Table1[Oracle Location],0,0)</f>
        <v>MONBLW</v>
      </c>
      <c r="F776" s="3" t="str">
        <f>_xlfn.XLOOKUP(Table3[[#This Row],[Location ]], Table1[Location],Table1[SVG Location],0,0)</f>
        <v>Blower</v>
      </c>
      <c r="G776" s="3" t="s">
        <v>1615</v>
      </c>
    </row>
    <row r="777" spans="1:7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tr">
        <f>_xlfn.XLOOKUP(Table3[[#This Row],[Location ]],Table1[Location],Table1[Oracle Location],0,0)</f>
        <v>MTY 1, MTY1</v>
      </c>
      <c r="F777" s="3" t="str">
        <f>_xlfn.XLOOKUP(Table3[[#This Row],[Location ]], Table1[Location],Table1[SVG Location],0,0)</f>
        <v>Warehouse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tr">
        <f>_xlfn.XLOOKUP(Table3[[#This Row],[Location ]],Table1[Location],Table1[Oracle Location],0,0)</f>
        <v>MTY 1, MTY1</v>
      </c>
      <c r="F778" s="3" t="str">
        <f>_xlfn.XLOOKUP(Table3[[#This Row],[Location ]], Table1[Location],Table1[SVG Location],0,0)</f>
        <v>Warehouse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tr">
        <f>_xlfn.XLOOKUP(Table3[[#This Row],[Location ]],Table1[Location],Table1[Oracle Location],0,0)</f>
        <v>MONXDM</v>
      </c>
      <c r="F779" s="3" t="str">
        <f>_xlfn.XLOOKUP(Table3[[#This Row],[Location ]], Table1[Location],Table1[SVG Location],0,0)</f>
        <v>XDM</v>
      </c>
      <c r="G779" s="3" t="s">
        <v>1614</v>
      </c>
    </row>
    <row r="780" spans="1:7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tr">
        <f>_xlfn.XLOOKUP(Table3[[#This Row],[Location ]],Table1[Location],Table1[Oracle Location],0,0)</f>
        <v>MONMC</v>
      </c>
      <c r="F780" s="3" t="str">
        <f>_xlfn.XLOOKUP(Table3[[#This Row],[Location ]], Table1[Location],Table1[SVG Location],0,0)</f>
        <v>MC</v>
      </c>
      <c r="G780" s="3" t="s">
        <v>1615</v>
      </c>
    </row>
    <row r="781" spans="1:7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tr">
        <f>_xlfn.XLOOKUP(Table3[[#This Row],[Location ]],Table1[Location],Table1[Oracle Location],0,0)</f>
        <v>MONCOILS</v>
      </c>
      <c r="F781" s="3" t="str">
        <f>_xlfn.XLOOKUP(Table3[[#This Row],[Location ]], Table1[Location],Table1[SVG Location],0,0)</f>
        <v>Coils_Shop</v>
      </c>
      <c r="G781" s="3" t="s">
        <v>1617</v>
      </c>
    </row>
    <row r="782" spans="1:7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tr">
        <f>_xlfn.XLOOKUP(Table3[[#This Row],[Location ]],Table1[Location],Table1[Oracle Location],0,0)</f>
        <v>MONMC</v>
      </c>
      <c r="F782" s="3" t="str">
        <f>_xlfn.XLOOKUP(Table3[[#This Row],[Location ]], Table1[Location],Table1[SVG Location],0,0)</f>
        <v>MC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tr">
        <f>_xlfn.XLOOKUP(Table3[[#This Row],[Location ]],Table1[Location],Table1[Oracle Location],0,0)</f>
        <v>MONSM</v>
      </c>
      <c r="F783" s="3" t="str">
        <f>_xlfn.XLOOKUP(Table3[[#This Row],[Location ]], Table1[Location],Table1[SVG Location],0,0)</f>
        <v>Sheet_Metal</v>
      </c>
      <c r="G783" s="3" t="s">
        <v>1614</v>
      </c>
    </row>
    <row r="784" spans="1:7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tr">
        <f>_xlfn.XLOOKUP(Table3[[#This Row],[Location ]],Table1[Location],Table1[Oracle Location],0,0)</f>
        <v>MONCOILS</v>
      </c>
      <c r="F784" s="3" t="str">
        <f>_xlfn.XLOOKUP(Table3[[#This Row],[Location ]], Table1[Location],Table1[SVG Location],0,0)</f>
        <v>Coils_Shop</v>
      </c>
      <c r="G784" s="3" t="s">
        <v>1613</v>
      </c>
    </row>
    <row r="785" spans="1:7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tr">
        <f>_xlfn.XLOOKUP(Table3[[#This Row],[Location ]],Table1[Location],Table1[Oracle Location],0,0)</f>
        <v>MONDP</v>
      </c>
      <c r="F785" s="3" t="str">
        <f>_xlfn.XLOOKUP(Table3[[#This Row],[Location ]], Table1[Location],Table1[SVG Location],0,0)</f>
        <v>DH_400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tr">
        <f>_xlfn.XLOOKUP(Table3[[#This Row],[Location ]],Table1[Location],Table1[Oracle Location],0,0)</f>
        <v>MON-AFC</v>
      </c>
      <c r="F786" s="3" t="str">
        <f>_xlfn.XLOOKUP(Table3[[#This Row],[Location ]], Table1[Location],Table1[SVG Location],0,0)</f>
        <v>AFC</v>
      </c>
      <c r="G786" s="3" t="s">
        <v>1614</v>
      </c>
    </row>
    <row r="787" spans="1:7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tr">
        <f>_xlfn.XLOOKUP(Table3[[#This Row],[Location ]],Table1[Location],Table1[Oracle Location],0,0)</f>
        <v>MONDP</v>
      </c>
      <c r="F787" s="3" t="str">
        <f>_xlfn.XLOOKUP(Table3[[#This Row],[Location ]], Table1[Location],Table1[SVG Location],0,0)</f>
        <v>DH_400</v>
      </c>
      <c r="G787" s="3" t="s">
        <v>1617</v>
      </c>
    </row>
    <row r="788" spans="1:7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tr">
        <f>_xlfn.XLOOKUP(Table3[[#This Row],[Location ]],Table1[Location],Table1[Oracle Location],0,0)</f>
        <v>MONDP</v>
      </c>
      <c r="F788" s="3" t="str">
        <f>_xlfn.XLOOKUP(Table3[[#This Row],[Location ]], Table1[Location],Table1[SVG Location],0,0)</f>
        <v>DH_400</v>
      </c>
      <c r="G788" s="3" t="s">
        <v>1617</v>
      </c>
    </row>
    <row r="789" spans="1:7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tr">
        <f>_xlfn.XLOOKUP(Table3[[#This Row],[Location ]],Table1[Location],Table1[Oracle Location],0,0)</f>
        <v>MONDP</v>
      </c>
      <c r="F789" s="3" t="str">
        <f>_xlfn.XLOOKUP(Table3[[#This Row],[Location ]], Table1[Location],Table1[SVG Location],0,0)</f>
        <v>DH_400</v>
      </c>
      <c r="G789" s="3" t="s">
        <v>1613</v>
      </c>
    </row>
    <row r="790" spans="1:7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tr">
        <f>_xlfn.XLOOKUP(Table3[[#This Row],[Location ]],Table1[Location],Table1[Oracle Location],0,0)</f>
        <v>MONEP</v>
      </c>
      <c r="F790" s="3" t="str">
        <f>_xlfn.XLOOKUP(Table3[[#This Row],[Location ]], Table1[Location],Table1[SVG Location],0,0)</f>
        <v>EP</v>
      </c>
      <c r="G790" s="3" t="s">
        <v>1615</v>
      </c>
    </row>
    <row r="791" spans="1:7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tr">
        <f>_xlfn.XLOOKUP(Table3[[#This Row],[Location ]],Table1[Location],Table1[Oracle Location],0,0)</f>
        <v>MONEP</v>
      </c>
      <c r="F791" s="3" t="str">
        <f>_xlfn.XLOOKUP(Table3[[#This Row],[Location ]], Table1[Location],Table1[SVG Location],0,0)</f>
        <v>EP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tr">
        <f>_xlfn.XLOOKUP(Table3[[#This Row],[Location ]],Table1[Location],Table1[Oracle Location],0,0)</f>
        <v>MTY 1, MTY1</v>
      </c>
      <c r="F792" s="3" t="str">
        <f>_xlfn.XLOOKUP(Table3[[#This Row],[Location ]], Table1[Location],Table1[SVG Location],0,0)</f>
        <v>Warehouse</v>
      </c>
      <c r="G792" s="3" t="s">
        <v>1616</v>
      </c>
    </row>
    <row r="793" spans="1:7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tr">
        <f>_xlfn.XLOOKUP(Table3[[#This Row],[Location ]],Table1[Location],Table1[Oracle Location],0,0)</f>
        <v>MONXDU</v>
      </c>
      <c r="F793" s="3" t="str">
        <f>_xlfn.XLOOKUP(Table3[[#This Row],[Location ]], Table1[Location],Table1[SVG Location],0,0)</f>
        <v>XDU_1350</v>
      </c>
      <c r="G793" s="3" t="s">
        <v>1617</v>
      </c>
    </row>
    <row r="794" spans="1:7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tr">
        <f>_xlfn.XLOOKUP(Table3[[#This Row],[Location ]],Table1[Location],Table1[Oracle Location],0,0)</f>
        <v>MONDA</v>
      </c>
      <c r="F794" s="3" t="str">
        <f>_xlfn.XLOOKUP(Table3[[#This Row],[Location ]], Table1[Location],Table1[SVG Location],0,0)</f>
        <v>MONDA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tr">
        <f>_xlfn.XLOOKUP(Table3[[#This Row],[Location ]],Table1[Location],Table1[Oracle Location],0,0)</f>
        <v>MTY3</v>
      </c>
      <c r="F795" s="3" t="str">
        <f>_xlfn.XLOOKUP(Table3[[#This Row],[Location ]], Table1[Location],Table1[SVG Location],0,0)</f>
        <v>MTY3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tr">
        <f>_xlfn.XLOOKUP(Table3[[#This Row],[Location ]],Table1[Location],Table1[Oracle Location],0,0)</f>
        <v>MONXDU100</v>
      </c>
      <c r="F796" s="3" t="str">
        <f>_xlfn.XLOOKUP(Table3[[#This Row],[Location ]], Table1[Location],Table1[SVG Location],0,0)</f>
        <v>XDU_100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tr">
        <f>_xlfn.XLOOKUP(Table3[[#This Row],[Location ]],Table1[Location],Table1[Oracle Location],0,0)</f>
        <v>MONDP</v>
      </c>
      <c r="F797" s="3" t="str">
        <f>_xlfn.XLOOKUP(Table3[[#This Row],[Location ]], Table1[Location],Table1[SVG Location],0,0)</f>
        <v>DH_400</v>
      </c>
      <c r="G797" s="3" t="s">
        <v>1616</v>
      </c>
    </row>
    <row r="798" spans="1:7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tr">
        <f>_xlfn.XLOOKUP(Table3[[#This Row],[Location ]],Table1[Location],Table1[Oracle Location],0,0)</f>
        <v>MONXDM</v>
      </c>
      <c r="F798" s="3" t="str">
        <f>_xlfn.XLOOKUP(Table3[[#This Row],[Location ]], Table1[Location],Table1[SVG Location],0,0)</f>
        <v>XDM</v>
      </c>
      <c r="G798" s="3" t="s">
        <v>1617</v>
      </c>
    </row>
    <row r="799" spans="1:7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tr">
        <f>_xlfn.XLOOKUP(Table3[[#This Row],[Location ]],Table1[Location],Table1[Oracle Location],0,0)</f>
        <v>MONXDU100</v>
      </c>
      <c r="F799" s="3" t="str">
        <f>_xlfn.XLOOKUP(Table3[[#This Row],[Location ]], Table1[Location],Table1[SVG Location],0,0)</f>
        <v>XDU_100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tr">
        <f>_xlfn.XLOOKUP(Table3[[#This Row],[Location ]],Table1[Location],Table1[Oracle Location],0,0)</f>
        <v>MONXDM</v>
      </c>
      <c r="F800" s="3" t="str">
        <f>_xlfn.XLOOKUP(Table3[[#This Row],[Location ]], Table1[Location],Table1[SVG Location],0,0)</f>
        <v>XDM</v>
      </c>
      <c r="G800" s="3" t="s">
        <v>1614</v>
      </c>
    </row>
    <row r="801" spans="1:7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tr">
        <f>_xlfn.XLOOKUP(Table3[[#This Row],[Location ]],Table1[Location],Table1[Oracle Location],0,0)</f>
        <v>MONDP</v>
      </c>
      <c r="F801" s="3" t="str">
        <f>_xlfn.XLOOKUP(Table3[[#This Row],[Location ]], Table1[Location],Table1[SVG Location],0,0)</f>
        <v>DH_400</v>
      </c>
      <c r="G801" s="3" t="s">
        <v>1615</v>
      </c>
    </row>
    <row r="802" spans="1:7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tr">
        <f>_xlfn.XLOOKUP(Table3[[#This Row],[Location ]],Table1[Location],Table1[Oracle Location],0,0)</f>
        <v>MONDP</v>
      </c>
      <c r="F802" s="3" t="str">
        <f>_xlfn.XLOOKUP(Table3[[#This Row],[Location ]], Table1[Location],Table1[SVG Location],0,0)</f>
        <v>DH_400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tr">
        <f>_xlfn.XLOOKUP(Table3[[#This Row],[Location ]],Table1[Location],Table1[Oracle Location],0,0)</f>
        <v>MONMC</v>
      </c>
      <c r="F803" s="3" t="str">
        <f>_xlfn.XLOOKUP(Table3[[#This Row],[Location ]], Table1[Location],Table1[SVG Location],0,0)</f>
        <v>MC</v>
      </c>
      <c r="G803" s="3" t="s">
        <v>1614</v>
      </c>
    </row>
    <row r="804" spans="1:7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tr">
        <f>_xlfn.XLOOKUP(Table3[[#This Row],[Location ]],Table1[Location],Table1[Oracle Location],0,0)</f>
        <v>MONXDU100</v>
      </c>
      <c r="F804" s="3" t="str">
        <f>_xlfn.XLOOKUP(Table3[[#This Row],[Location ]], Table1[Location],Table1[SVG Location],0,0)</f>
        <v>XDU_100</v>
      </c>
      <c r="G804" s="3" t="s">
        <v>1615</v>
      </c>
    </row>
    <row r="805" spans="1:7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tr">
        <f>_xlfn.XLOOKUP(Table3[[#This Row],[Location ]],Table1[Location],Table1[Oracle Location],0,0)</f>
        <v>MONKITS</v>
      </c>
      <c r="F805" s="3" t="str">
        <f>_xlfn.XLOOKUP(Table3[[#This Row],[Location ]], Table1[Location],Table1[SVG Location],0,0)</f>
        <v>Kits</v>
      </c>
      <c r="G805" s="3" t="s">
        <v>1617</v>
      </c>
    </row>
    <row r="806" spans="1:7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tr">
        <f>_xlfn.XLOOKUP(Table3[[#This Row],[Location ]],Table1[Location],Table1[Oracle Location],0,0)</f>
        <v>MONXDU</v>
      </c>
      <c r="F806" s="3" t="str">
        <f>_xlfn.XLOOKUP(Table3[[#This Row],[Location ]], Table1[Location],Table1[SVG Location],0,0)</f>
        <v>XDU_1350</v>
      </c>
      <c r="G806" s="3" t="s">
        <v>1617</v>
      </c>
    </row>
    <row r="807" spans="1:7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tr">
        <f>_xlfn.XLOOKUP(Table3[[#This Row],[Location ]],Table1[Location],Table1[Oracle Location],0,0)</f>
        <v>MTY 1, MTY1</v>
      </c>
      <c r="F807" s="3" t="str">
        <f>_xlfn.XLOOKUP(Table3[[#This Row],[Location ]], Table1[Location],Table1[SVG Location],0,0)</f>
        <v>Warehouse</v>
      </c>
      <c r="G807" s="3" t="s">
        <v>1617</v>
      </c>
    </row>
    <row r="808" spans="1:7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tr">
        <f>_xlfn.XLOOKUP(Table3[[#This Row],[Location ]],Table1[Location],Table1[Oracle Location],0,0)</f>
        <v>MONDP</v>
      </c>
      <c r="F808" s="3" t="str">
        <f>_xlfn.XLOOKUP(Table3[[#This Row],[Location ]], Table1[Location],Table1[SVG Location],0,0)</f>
        <v>DH_400</v>
      </c>
      <c r="G808" s="3" t="s">
        <v>1617</v>
      </c>
    </row>
    <row r="809" spans="1:7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tr">
        <f>_xlfn.XLOOKUP(Table3[[#This Row],[Location ]],Table1[Location],Table1[Oracle Location],0,0)</f>
        <v>MONMC</v>
      </c>
      <c r="F809" s="3" t="str">
        <f>_xlfn.XLOOKUP(Table3[[#This Row],[Location ]], Table1[Location],Table1[SVG Location],0,0)</f>
        <v>MC</v>
      </c>
      <c r="G809" s="3" t="s">
        <v>1617</v>
      </c>
    </row>
    <row r="810" spans="1:7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tr">
        <f>_xlfn.XLOOKUP(Table3[[#This Row],[Location ]],Table1[Location],Table1[Oracle Location],0,0)</f>
        <v>MONCR</v>
      </c>
      <c r="F810" s="3" t="str">
        <f>_xlfn.XLOOKUP(Table3[[#This Row],[Location ]], Table1[Location],Table1[SVG Location],0,0)</f>
        <v>CR</v>
      </c>
      <c r="G810" s="3" t="s">
        <v>1617</v>
      </c>
    </row>
    <row r="811" spans="1:7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tr">
        <f>_xlfn.XLOOKUP(Table3[[#This Row],[Location ]],Table1[Location],Table1[Oracle Location],0,0)</f>
        <v>MONDP</v>
      </c>
      <c r="F811" s="3" t="str">
        <f>_xlfn.XLOOKUP(Table3[[#This Row],[Location ]], Table1[Location],Table1[SVG Location],0,0)</f>
        <v>DH_400</v>
      </c>
      <c r="G811" s="3" t="s">
        <v>1613</v>
      </c>
    </row>
    <row r="812" spans="1:7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tr">
        <f>_xlfn.XLOOKUP(Table3[[#This Row],[Location ]],Table1[Location],Table1[Oracle Location],0,0)</f>
        <v>MONDA</v>
      </c>
      <c r="F812" s="3" t="str">
        <f>_xlfn.XLOOKUP(Table3[[#This Row],[Location ]], Table1[Location],Table1[SVG Location],0,0)</f>
        <v>MONDA</v>
      </c>
      <c r="G812" s="3" t="s">
        <v>1617</v>
      </c>
    </row>
    <row r="813" spans="1:7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tr">
        <f>_xlfn.XLOOKUP(Table3[[#This Row],[Location ]],Table1[Location],Table1[Oracle Location],0,0)</f>
        <v>MONDP</v>
      </c>
      <c r="F813" s="3" t="str">
        <f>_xlfn.XLOOKUP(Table3[[#This Row],[Location ]], Table1[Location],Table1[SVG Location],0,0)</f>
        <v>DH_400</v>
      </c>
      <c r="G813" s="3" t="s">
        <v>1617</v>
      </c>
    </row>
    <row r="814" spans="1:7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tr">
        <f>_xlfn.XLOOKUP(Table3[[#This Row],[Location ]],Table1[Location],Table1[Oracle Location],0,0)</f>
        <v>MONCOILS</v>
      </c>
      <c r="F814" s="3" t="str">
        <f>_xlfn.XLOOKUP(Table3[[#This Row],[Location ]], Table1[Location],Table1[SVG Location],0,0)</f>
        <v>Coils_Shop</v>
      </c>
      <c r="G814" s="3" t="s">
        <v>1617</v>
      </c>
    </row>
    <row r="815" spans="1:7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tr">
        <f>_xlfn.XLOOKUP(Table3[[#This Row],[Location ]],Table1[Location],Table1[Oracle Location],0,0)</f>
        <v>MONMC</v>
      </c>
      <c r="F815" s="3" t="str">
        <f>_xlfn.XLOOKUP(Table3[[#This Row],[Location ]], Table1[Location],Table1[SVG Location],0,0)</f>
        <v>MC</v>
      </c>
      <c r="G815" s="3" t="s">
        <v>1617</v>
      </c>
    </row>
    <row r="816" spans="1:7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tr">
        <f>_xlfn.XLOOKUP(Table3[[#This Row],[Location ]],Table1[Location],Table1[Oracle Location],0,0)</f>
        <v>MTY 1, MTY1</v>
      </c>
      <c r="F816" s="3" t="str">
        <f>_xlfn.XLOOKUP(Table3[[#This Row],[Location ]], Table1[Location],Table1[SVG Location],0,0)</f>
        <v>Warehouse</v>
      </c>
      <c r="G816" s="3" t="s">
        <v>1617</v>
      </c>
    </row>
    <row r="817" spans="1:7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tr">
        <f>_xlfn.XLOOKUP(Table3[[#This Row],[Location ]],Table1[Location],Table1[Oracle Location],0,0)</f>
        <v>MONMC</v>
      </c>
      <c r="F817" s="3" t="str">
        <f>_xlfn.XLOOKUP(Table3[[#This Row],[Location ]], Table1[Location],Table1[SVG Location],0,0)</f>
        <v>MC</v>
      </c>
      <c r="G817" s="3" t="s">
        <v>1617</v>
      </c>
    </row>
    <row r="818" spans="1:7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tr">
        <f>_xlfn.XLOOKUP(Table3[[#This Row],[Location ]],Table1[Location],Table1[Oracle Location],0,0)</f>
        <v>MONEP</v>
      </c>
      <c r="F818" s="3" t="str">
        <f>_xlfn.XLOOKUP(Table3[[#This Row],[Location ]], Table1[Location],Table1[SVG Location],0,0)</f>
        <v>EP</v>
      </c>
      <c r="G818" s="3" t="s">
        <v>1617</v>
      </c>
    </row>
    <row r="819" spans="1:7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tr">
        <f>_xlfn.XLOOKUP(Table3[[#This Row],[Location ]],Table1[Location],Table1[Oracle Location],0,0)</f>
        <v>MONXDU100</v>
      </c>
      <c r="F819" s="3" t="str">
        <f>_xlfn.XLOOKUP(Table3[[#This Row],[Location ]], Table1[Location],Table1[SVG Location],0,0)</f>
        <v>XDU_100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tr">
        <f>_xlfn.XLOOKUP(Table3[[#This Row],[Location ]],Table1[Location],Table1[Oracle Location],0,0)</f>
        <v>MTY3</v>
      </c>
      <c r="F820" s="3" t="str">
        <f>_xlfn.XLOOKUP(Table3[[#This Row],[Location ]], Table1[Location],Table1[SVG Location],0,0)</f>
        <v>MTY3</v>
      </c>
      <c r="G820" s="3" t="s">
        <v>1614</v>
      </c>
    </row>
    <row r="821" spans="1:7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tr">
        <f>_xlfn.XLOOKUP(Table3[[#This Row],[Location ]],Table1[Location],Table1[Oracle Location],0,0)</f>
        <v>MONDP</v>
      </c>
      <c r="F821" s="3" t="str">
        <f>_xlfn.XLOOKUP(Table3[[#This Row],[Location ]], Table1[Location],Table1[SVG Location],0,0)</f>
        <v>DH_400</v>
      </c>
      <c r="G821" s="3" t="s">
        <v>1615</v>
      </c>
    </row>
    <row r="822" spans="1:7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tr">
        <f>_xlfn.XLOOKUP(Table3[[#This Row],[Location ]],Table1[Location],Table1[Oracle Location],0,0)</f>
        <v>MONDP</v>
      </c>
      <c r="F822" s="3" t="str">
        <f>_xlfn.XLOOKUP(Table3[[#This Row],[Location ]], Table1[Location],Table1[SVG Location],0,0)</f>
        <v>DH_400</v>
      </c>
      <c r="G822" s="3" t="s">
        <v>1617</v>
      </c>
    </row>
    <row r="823" spans="1:7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tr">
        <f>_xlfn.XLOOKUP(Table3[[#This Row],[Location ]],Table1[Location],Table1[Oracle Location],0,0)</f>
        <v>MONDP</v>
      </c>
      <c r="F823" s="3" t="str">
        <f>_xlfn.XLOOKUP(Table3[[#This Row],[Location ]], Table1[Location],Table1[SVG Location],0,0)</f>
        <v>DH_400</v>
      </c>
      <c r="G823" s="3" t="s">
        <v>1613</v>
      </c>
    </row>
    <row r="824" spans="1:7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tr">
        <f>_xlfn.XLOOKUP(Table3[[#This Row],[Location ]],Table1[Location],Table1[Oracle Location],0,0)</f>
        <v>MONDP</v>
      </c>
      <c r="F824" s="3" t="str">
        <f>_xlfn.XLOOKUP(Table3[[#This Row],[Location ]], Table1[Location],Table1[SVG Location],0,0)</f>
        <v>DH_400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tr">
        <f>_xlfn.XLOOKUP(Table3[[#This Row],[Location ]],Table1[Location],Table1[Oracle Location],0,0)</f>
        <v>MTY 1, MTY1</v>
      </c>
      <c r="F825" s="3" t="str">
        <f>_xlfn.XLOOKUP(Table3[[#This Row],[Location ]], Table1[Location],Table1[SVG Location],0,0)</f>
        <v>Warehouse</v>
      </c>
      <c r="G825" s="3" t="s">
        <v>1616</v>
      </c>
    </row>
    <row r="826" spans="1:7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tr">
        <f>_xlfn.XLOOKUP(Table3[[#This Row],[Location ]],Table1[Location],Table1[Oracle Location],0,0)</f>
        <v>MONEP</v>
      </c>
      <c r="F826" s="3" t="str">
        <f>_xlfn.XLOOKUP(Table3[[#This Row],[Location ]], Table1[Location],Table1[SVG Location],0,0)</f>
        <v>EP</v>
      </c>
      <c r="G826" s="3" t="s">
        <v>1617</v>
      </c>
    </row>
    <row r="827" spans="1:7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tr">
        <f>_xlfn.XLOOKUP(Table3[[#This Row],[Location ]],Table1[Location],Table1[Oracle Location],0,0)</f>
        <v>MONBLW</v>
      </c>
      <c r="F827" s="3" t="str">
        <f>_xlfn.XLOOKUP(Table3[[#This Row],[Location ]], Table1[Location],Table1[SVG Location],0,0)</f>
        <v>Blower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tr">
        <f>_xlfn.XLOOKUP(Table3[[#This Row],[Location ]],Table1[Location],Table1[Oracle Location],0,0)</f>
        <v>MONCOILS</v>
      </c>
      <c r="F828" s="3" t="str">
        <f>_xlfn.XLOOKUP(Table3[[#This Row],[Location ]], Table1[Location],Table1[SVG Location],0,0)</f>
        <v>Coils_Shop</v>
      </c>
      <c r="G828" s="3" t="s">
        <v>1614</v>
      </c>
    </row>
    <row r="829" spans="1:7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tr">
        <f>_xlfn.XLOOKUP(Table3[[#This Row],[Location ]],Table1[Location],Table1[Oracle Location],0,0)</f>
        <v>MONPRE</v>
      </c>
      <c r="F829" s="3" t="str">
        <f>_xlfn.XLOOKUP(Table3[[#This Row],[Location ]], Table1[Location],Table1[SVG Location],0,0)</f>
        <v>PRE_L1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tr">
        <f>_xlfn.XLOOKUP(Table3[[#This Row],[Location ]],Table1[Location],Table1[Oracle Location],0,0)</f>
        <v>MTY 1, MTY1</v>
      </c>
      <c r="F830" s="3" t="str">
        <f>_xlfn.XLOOKUP(Table3[[#This Row],[Location ]], Table1[Location],Table1[SVG Location],0,0)</f>
        <v>Warehouse</v>
      </c>
      <c r="G830" s="3" t="s">
        <v>1616</v>
      </c>
    </row>
    <row r="831" spans="1:7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tr">
        <f>_xlfn.XLOOKUP(Table3[[#This Row],[Location ]],Table1[Location],Table1[Oracle Location],0,0)</f>
        <v>MONDP</v>
      </c>
      <c r="F831" s="3" t="str">
        <f>_xlfn.XLOOKUP(Table3[[#This Row],[Location ]], Table1[Location],Table1[SVG Location],0,0)</f>
        <v>DH_400</v>
      </c>
      <c r="G831" s="3" t="s">
        <v>1613</v>
      </c>
    </row>
    <row r="832" spans="1:7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tr">
        <f>_xlfn.XLOOKUP(Table3[[#This Row],[Location ]],Table1[Location],Table1[Oracle Location],0,0)</f>
        <v>MONXDU100</v>
      </c>
      <c r="F832" s="3" t="str">
        <f>_xlfn.XLOOKUP(Table3[[#This Row],[Location ]], Table1[Location],Table1[SVG Location],0,0)</f>
        <v>XDU_100</v>
      </c>
      <c r="G832" s="3" t="s">
        <v>1615</v>
      </c>
    </row>
    <row r="833" spans="1:7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tr">
        <f>_xlfn.XLOOKUP(Table3[[#This Row],[Location ]],Table1[Location],Table1[Oracle Location],0,0)</f>
        <v>MONDP</v>
      </c>
      <c r="F833" s="3" t="str">
        <f>_xlfn.XLOOKUP(Table3[[#This Row],[Location ]], Table1[Location],Table1[SVG Location],0,0)</f>
        <v>DH_400</v>
      </c>
      <c r="G833" s="3" t="s">
        <v>1617</v>
      </c>
    </row>
    <row r="834" spans="1:7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tr">
        <f>_xlfn.XLOOKUP(Table3[[#This Row],[Location ]],Table1[Location],Table1[Oracle Location],0,0)</f>
        <v>MONDP</v>
      </c>
      <c r="F834" s="3" t="str">
        <f>_xlfn.XLOOKUP(Table3[[#This Row],[Location ]], Table1[Location],Table1[SVG Location],0,0)</f>
        <v>DH_400</v>
      </c>
      <c r="G834" s="3" t="s">
        <v>1615</v>
      </c>
    </row>
    <row r="835" spans="1:7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tr">
        <f>_xlfn.XLOOKUP(Table3[[#This Row],[Location ]],Table1[Location],Table1[Oracle Location],0,0)</f>
        <v>MONEP</v>
      </c>
      <c r="F835" s="3" t="str">
        <f>_xlfn.XLOOKUP(Table3[[#This Row],[Location ]], Table1[Location],Table1[SVG Location],0,0)</f>
        <v>EP</v>
      </c>
      <c r="G835" s="3" t="s">
        <v>1615</v>
      </c>
    </row>
    <row r="836" spans="1:7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tr">
        <f>_xlfn.XLOOKUP(Table3[[#This Row],[Location ]],Table1[Location],Table1[Oracle Location],0,0)</f>
        <v>MONEP</v>
      </c>
      <c r="F836" s="3" t="str">
        <f>_xlfn.XLOOKUP(Table3[[#This Row],[Location ]], Table1[Location],Table1[SVG Location],0,0)</f>
        <v>EP</v>
      </c>
      <c r="G836" s="3" t="s">
        <v>1617</v>
      </c>
    </row>
    <row r="837" spans="1:7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tr">
        <f>_xlfn.XLOOKUP(Table3[[#This Row],[Location ]],Table1[Location],Table1[Oracle Location],0,0)</f>
        <v>MONDP</v>
      </c>
      <c r="F837" s="3" t="str">
        <f>_xlfn.XLOOKUP(Table3[[#This Row],[Location ]], Table1[Location],Table1[SVG Location],0,0)</f>
        <v>DH_400</v>
      </c>
      <c r="G837" s="3" t="s">
        <v>1613</v>
      </c>
    </row>
    <row r="838" spans="1:7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tr">
        <f>_xlfn.XLOOKUP(Table3[[#This Row],[Location ]],Table1[Location],Table1[Oracle Location],0,0)</f>
        <v>MONDP</v>
      </c>
      <c r="F838" s="3" t="str">
        <f>_xlfn.XLOOKUP(Table3[[#This Row],[Location ]], Table1[Location],Table1[SVG Location],0,0)</f>
        <v>DH_400</v>
      </c>
      <c r="G838" s="3" t="s">
        <v>1615</v>
      </c>
    </row>
    <row r="839" spans="1:7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tr">
        <f>_xlfn.XLOOKUP(Table3[[#This Row],[Location ]],Table1[Location],Table1[Oracle Location],0,0)</f>
        <v>MONEP</v>
      </c>
      <c r="F839" s="3" t="str">
        <f>_xlfn.XLOOKUP(Table3[[#This Row],[Location ]], Table1[Location],Table1[SVG Location],0,0)</f>
        <v>EP</v>
      </c>
      <c r="G839" s="3" t="s">
        <v>1613</v>
      </c>
    </row>
    <row r="840" spans="1:7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tr">
        <f>_xlfn.XLOOKUP(Table3[[#This Row],[Location ]],Table1[Location],Table1[Oracle Location],0,0)</f>
        <v>MONXDU100</v>
      </c>
      <c r="F840" s="3" t="str">
        <f>_xlfn.XLOOKUP(Table3[[#This Row],[Location ]], Table1[Location],Table1[SVG Location],0,0)</f>
        <v>XDU_100</v>
      </c>
      <c r="G840" s="3" t="s">
        <v>1615</v>
      </c>
    </row>
    <row r="841" spans="1:7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tr">
        <f>_xlfn.XLOOKUP(Table3[[#This Row],[Location ]],Table1[Location],Table1[Oracle Location],0,0)</f>
        <v>MONDP</v>
      </c>
      <c r="F841" s="3" t="str">
        <f>_xlfn.XLOOKUP(Table3[[#This Row],[Location ]], Table1[Location],Table1[SVG Location],0,0)</f>
        <v>DH_400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tr">
        <f>_xlfn.XLOOKUP(Table3[[#This Row],[Location ]],Table1[Location],Table1[Oracle Location],0,0)</f>
        <v>MONSKID</v>
      </c>
      <c r="F842" s="3" t="str">
        <f>_xlfn.XLOOKUP(Table3[[#This Row],[Location ]], Table1[Location],Table1[SVG Location],0,0)</f>
        <v>SKID</v>
      </c>
      <c r="G842" s="3" t="s">
        <v>1616</v>
      </c>
    </row>
    <row r="843" spans="1:7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tr">
        <f>_xlfn.XLOOKUP(Table3[[#This Row],[Location ]],Table1[Location],Table1[Oracle Location],0,0)</f>
        <v>MONEP</v>
      </c>
      <c r="F843" s="3" t="str">
        <f>_xlfn.XLOOKUP(Table3[[#This Row],[Location ]], Table1[Location],Table1[SVG Location],0,0)</f>
        <v>EP</v>
      </c>
      <c r="G843" s="3" t="s">
        <v>1613</v>
      </c>
    </row>
    <row r="844" spans="1:7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tr">
        <f>_xlfn.XLOOKUP(Table3[[#This Row],[Location ]],Table1[Location],Table1[Oracle Location],0,0)</f>
        <v>MONEP</v>
      </c>
      <c r="F844" s="3" t="str">
        <f>_xlfn.XLOOKUP(Table3[[#This Row],[Location ]], Table1[Location],Table1[SVG Location],0,0)</f>
        <v>EP</v>
      </c>
      <c r="G844" s="3" t="s">
        <v>1613</v>
      </c>
    </row>
    <row r="845" spans="1:7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tr">
        <f>_xlfn.XLOOKUP(Table3[[#This Row],[Location ]],Table1[Location],Table1[Oracle Location],0,0)</f>
        <v>MONDP</v>
      </c>
      <c r="F845" s="3" t="str">
        <f>_xlfn.XLOOKUP(Table3[[#This Row],[Location ]], Table1[Location],Table1[SVG Location],0,0)</f>
        <v>DH_400</v>
      </c>
      <c r="G845" s="3" t="s">
        <v>1613</v>
      </c>
    </row>
    <row r="846" spans="1:7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tr">
        <f>_xlfn.XLOOKUP(Table3[[#This Row],[Location ]],Table1[Location],Table1[Oracle Location],0,0)</f>
        <v>MONDP</v>
      </c>
      <c r="F846" s="3" t="str">
        <f>_xlfn.XLOOKUP(Table3[[#This Row],[Location ]], Table1[Location],Table1[SVG Location],0,0)</f>
        <v>DH_400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tr">
        <f>_xlfn.XLOOKUP(Table3[[#This Row],[Location ]],Table1[Location],Table1[Oracle Location],0,0)</f>
        <v>MTY3</v>
      </c>
      <c r="F847" s="3" t="str">
        <f>_xlfn.XLOOKUP(Table3[[#This Row],[Location ]], Table1[Location],Table1[SVG Location],0,0)</f>
        <v>MTY3</v>
      </c>
      <c r="G847" s="3" t="s">
        <v>1614</v>
      </c>
    </row>
    <row r="848" spans="1:7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tr">
        <f>_xlfn.XLOOKUP(Table3[[#This Row],[Location ]],Table1[Location],Table1[Oracle Location],0,0)</f>
        <v>MONDA</v>
      </c>
      <c r="F848" s="3" t="str">
        <f>_xlfn.XLOOKUP(Table3[[#This Row],[Location ]], Table1[Location],Table1[SVG Location],0,0)</f>
        <v>MONDA</v>
      </c>
      <c r="G848" s="3" t="s">
        <v>1617</v>
      </c>
    </row>
    <row r="849" spans="1:7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tr">
        <f>_xlfn.XLOOKUP(Table3[[#This Row],[Location ]],Table1[Location],Table1[Oracle Location],0,0)</f>
        <v>MONDP</v>
      </c>
      <c r="F849" s="3" t="str">
        <f>_xlfn.XLOOKUP(Table3[[#This Row],[Location ]], Table1[Location],Table1[SVG Location],0,0)</f>
        <v>DH_400</v>
      </c>
      <c r="G849" s="3" t="s">
        <v>1613</v>
      </c>
    </row>
    <row r="850" spans="1:7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tr">
        <f>_xlfn.XLOOKUP(Table3[[#This Row],[Location ]],Table1[Location],Table1[Oracle Location],0,0)</f>
        <v>MONEP</v>
      </c>
      <c r="F850" s="3" t="str">
        <f>_xlfn.XLOOKUP(Table3[[#This Row],[Location ]], Table1[Location],Table1[SVG Location],0,0)</f>
        <v>EP</v>
      </c>
      <c r="G850" s="3" t="s">
        <v>1613</v>
      </c>
    </row>
    <row r="851" spans="1:7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tr">
        <f>_xlfn.XLOOKUP(Table3[[#This Row],[Location ]],Table1[Location],Table1[Oracle Location],0,0)</f>
        <v>MONXDU100</v>
      </c>
      <c r="F851" s="3" t="str">
        <f>_xlfn.XLOOKUP(Table3[[#This Row],[Location ]], Table1[Location],Table1[SVG Location],0,0)</f>
        <v>XDU_100</v>
      </c>
      <c r="G851" s="3" t="s">
        <v>1615</v>
      </c>
    </row>
    <row r="852" spans="1:7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tr">
        <f>_xlfn.XLOOKUP(Table3[[#This Row],[Location ]],Table1[Location],Table1[Oracle Location],0,0)</f>
        <v>MONPRE</v>
      </c>
      <c r="F852" s="3" t="str">
        <f>_xlfn.XLOOKUP(Table3[[#This Row],[Location ]], Table1[Location],Table1[SVG Location],0,0)</f>
        <v>PRE_L1</v>
      </c>
      <c r="G852" s="3" t="s">
        <v>1615</v>
      </c>
    </row>
    <row r="853" spans="1:7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tr">
        <f>_xlfn.XLOOKUP(Table3[[#This Row],[Location ]],Table1[Location],Table1[Oracle Location],0,0)</f>
        <v>MONEP</v>
      </c>
      <c r="F853" s="3" t="str">
        <f>_xlfn.XLOOKUP(Table3[[#This Row],[Location ]], Table1[Location],Table1[SVG Location],0,0)</f>
        <v>EP</v>
      </c>
      <c r="G853" s="3" t="s">
        <v>1617</v>
      </c>
    </row>
    <row r="854" spans="1:7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tr">
        <f>_xlfn.XLOOKUP(Table3[[#This Row],[Location ]],Table1[Location],Table1[Oracle Location],0,0)</f>
        <v>MONBLW</v>
      </c>
      <c r="F854" s="3" t="str">
        <f>_xlfn.XLOOKUP(Table3[[#This Row],[Location ]], Table1[Location],Table1[SVG Location],0,0)</f>
        <v>Blower</v>
      </c>
      <c r="G854" s="3" t="s">
        <v>1615</v>
      </c>
    </row>
    <row r="855" spans="1:7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tr">
        <f>_xlfn.XLOOKUP(Table3[[#This Row],[Location ]],Table1[Location],Table1[Oracle Location],0,0)</f>
        <v>MONEP</v>
      </c>
      <c r="F855" s="3" t="str">
        <f>_xlfn.XLOOKUP(Table3[[#This Row],[Location ]], Table1[Location],Table1[SVG Location],0,0)</f>
        <v>EP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tr">
        <f>_xlfn.XLOOKUP(Table3[[#This Row],[Location ]],Table1[Location],Table1[Oracle Location],0,0)</f>
        <v>ALL</v>
      </c>
      <c r="F856" s="3" t="str">
        <f>_xlfn.XLOOKUP(Table3[[#This Row],[Location ]], Table1[Location],Table1[SVG Location],0,0)</f>
        <v>ALL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tr">
        <f>_xlfn.XLOOKUP(Table3[[#This Row],[Location ]],Table1[Location],Table1[Oracle Location],0,0)</f>
        <v>MONCOILS</v>
      </c>
      <c r="F857" s="3" t="str">
        <f>_xlfn.XLOOKUP(Table3[[#This Row],[Location ]], Table1[Location],Table1[SVG Location],0,0)</f>
        <v>Coils_Shop</v>
      </c>
      <c r="G857" s="3" t="s">
        <v>1614</v>
      </c>
    </row>
    <row r="858" spans="1:7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tr">
        <f>_xlfn.XLOOKUP(Table3[[#This Row],[Location ]],Table1[Location],Table1[Oracle Location],0,0)</f>
        <v>MONXDU</v>
      </c>
      <c r="F858" s="3" t="str">
        <f>_xlfn.XLOOKUP(Table3[[#This Row],[Location ]], Table1[Location],Table1[SVG Location],0,0)</f>
        <v>XDU_1350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tr">
        <f>_xlfn.XLOOKUP(Table3[[#This Row],[Location ]],Table1[Location],Table1[Oracle Location],0,0)</f>
        <v>MTY 1, MTY1</v>
      </c>
      <c r="F859" s="3" t="str">
        <f>_xlfn.XLOOKUP(Table3[[#This Row],[Location ]], Table1[Location],Table1[SVG Location],0,0)</f>
        <v>Warehouse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tr">
        <f>_xlfn.XLOOKUP(Table3[[#This Row],[Location ]],Table1[Location],Table1[Oracle Location],0,0)</f>
        <v>MTY3</v>
      </c>
      <c r="F860" s="3" t="str">
        <f>_xlfn.XLOOKUP(Table3[[#This Row],[Location ]], Table1[Location],Table1[SVG Location],0,0)</f>
        <v>MTY3</v>
      </c>
      <c r="G860" s="3">
        <v>0</v>
      </c>
    </row>
    <row r="861" spans="1:7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tr">
        <f>_xlfn.XLOOKUP(Table3[[#This Row],[Location ]],Table1[Location],Table1[Oracle Location],0,0)</f>
        <v>MTY 1, MTY1</v>
      </c>
      <c r="F861" s="3" t="str">
        <f>_xlfn.XLOOKUP(Table3[[#This Row],[Location ]], Table1[Location],Table1[SVG Location],0,0)</f>
        <v>Warehouse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tr">
        <f>_xlfn.XLOOKUP(Table3[[#This Row],[Location ]],Table1[Location],Table1[Oracle Location],0,0)</f>
        <v>MTY 1, MTY1</v>
      </c>
      <c r="F862" s="3" t="str">
        <f>_xlfn.XLOOKUP(Table3[[#This Row],[Location ]], Table1[Location],Table1[SVG Location],0,0)</f>
        <v>Warehouse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tr">
        <f>_xlfn.XLOOKUP(Table3[[#This Row],[Location ]],Table1[Location],Table1[Oracle Location],0,0)</f>
        <v>MON-AFC</v>
      </c>
      <c r="F863" s="3" t="str">
        <f>_xlfn.XLOOKUP(Table3[[#This Row],[Location ]], Table1[Location],Table1[SVG Location],0,0)</f>
        <v>AFC</v>
      </c>
      <c r="G863" s="3" t="s">
        <v>1614</v>
      </c>
    </row>
    <row r="864" spans="1:7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tr">
        <f>_xlfn.XLOOKUP(Table3[[#This Row],[Location ]],Table1[Location],Table1[Oracle Location],0,0)</f>
        <v>MONEP</v>
      </c>
      <c r="F864" s="3" t="str">
        <f>_xlfn.XLOOKUP(Table3[[#This Row],[Location ]], Table1[Location],Table1[SVG Location],0,0)</f>
        <v>EP</v>
      </c>
      <c r="G864" s="3" t="s">
        <v>1615</v>
      </c>
    </row>
    <row r="865" spans="1:7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tr">
        <f>_xlfn.XLOOKUP(Table3[[#This Row],[Location ]],Table1[Location],Table1[Oracle Location],0,0)</f>
        <v>MONEP</v>
      </c>
      <c r="F865" s="3" t="str">
        <f>_xlfn.XLOOKUP(Table3[[#This Row],[Location ]], Table1[Location],Table1[SVG Location],0,0)</f>
        <v>EP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f>_xlfn.XLOOKUP(Table3[[#This Row],[Location ]],Table1[Location],Table1[Oracle Location],0,0)</f>
        <v>0</v>
      </c>
      <c r="F866" s="3">
        <f>_xlfn.XLOOKUP(Table3[[#This Row],[Location ]], Table1[Location],Table1[SVG Location],0,0)</f>
        <v>0</v>
      </c>
      <c r="G866" s="3" t="s">
        <v>1614</v>
      </c>
    </row>
    <row r="867" spans="1:7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tr">
        <f>_xlfn.XLOOKUP(Table3[[#This Row],[Location ]],Table1[Location],Table1[Oracle Location],0,0)</f>
        <v>MONXDU100</v>
      </c>
      <c r="F867" s="3" t="str">
        <f>_xlfn.XLOOKUP(Table3[[#This Row],[Location ]], Table1[Location],Table1[SVG Location],0,0)</f>
        <v>XDU_100</v>
      </c>
      <c r="G867" s="3" t="s">
        <v>1613</v>
      </c>
    </row>
    <row r="868" spans="1:7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tr">
        <f>_xlfn.XLOOKUP(Table3[[#This Row],[Location ]],Table1[Location],Table1[Oracle Location],0,0)</f>
        <v>MONDP</v>
      </c>
      <c r="F868" s="3" t="str">
        <f>_xlfn.XLOOKUP(Table3[[#This Row],[Location ]], Table1[Location],Table1[SVG Location],0,0)</f>
        <v>DH_400</v>
      </c>
      <c r="G868" s="3" t="s">
        <v>1613</v>
      </c>
    </row>
    <row r="869" spans="1:7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tr">
        <f>_xlfn.XLOOKUP(Table3[[#This Row],[Location ]],Table1[Location],Table1[Oracle Location],0,0)</f>
        <v>MONCOILS</v>
      </c>
      <c r="F869" s="3" t="str">
        <f>_xlfn.XLOOKUP(Table3[[#This Row],[Location ]], Table1[Location],Table1[SVG Location],0,0)</f>
        <v>Coils_Shop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tr">
        <f>_xlfn.XLOOKUP(Table3[[#This Row],[Location ]],Table1[Location],Table1[Oracle Location],0,0)</f>
        <v>MONXDM</v>
      </c>
      <c r="F870" s="3" t="str">
        <f>_xlfn.XLOOKUP(Table3[[#This Row],[Location ]], Table1[Location],Table1[SVG Location],0,0)</f>
        <v>XDM</v>
      </c>
      <c r="G870" s="3" t="s">
        <v>1614</v>
      </c>
    </row>
    <row r="871" spans="1:7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tr">
        <f>_xlfn.XLOOKUP(Table3[[#This Row],[Location ]],Table1[Location],Table1[Oracle Location],0,0)</f>
        <v>MONDP</v>
      </c>
      <c r="F871" s="3" t="str">
        <f>_xlfn.XLOOKUP(Table3[[#This Row],[Location ]], Table1[Location],Table1[SVG Location],0,0)</f>
        <v>DH_400</v>
      </c>
      <c r="G871" s="3" t="s">
        <v>1613</v>
      </c>
    </row>
    <row r="872" spans="1:7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tr">
        <f>_xlfn.XLOOKUP(Table3[[#This Row],[Location ]],Table1[Location],Table1[Oracle Location],0,0)</f>
        <v>MONDP</v>
      </c>
      <c r="F872" s="3" t="str">
        <f>_xlfn.XLOOKUP(Table3[[#This Row],[Location ]], Table1[Location],Table1[SVG Location],0,0)</f>
        <v>DH_400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tr">
        <f>_xlfn.XLOOKUP(Table3[[#This Row],[Location ]],Table1[Location],Table1[Oracle Location],0,0)</f>
        <v>MTY 1, MTY1</v>
      </c>
      <c r="F873" s="3" t="str">
        <f>_xlfn.XLOOKUP(Table3[[#This Row],[Location ]], Table1[Location],Table1[SVG Location],0,0)</f>
        <v>Warehouse</v>
      </c>
      <c r="G873" s="3" t="s">
        <v>1616</v>
      </c>
    </row>
    <row r="874" spans="1:7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tr">
        <f>_xlfn.XLOOKUP(Table3[[#This Row],[Location ]],Table1[Location],Table1[Oracle Location],0,0)</f>
        <v>MONEP</v>
      </c>
      <c r="F874" s="3" t="str">
        <f>_xlfn.XLOOKUP(Table3[[#This Row],[Location ]], Table1[Location],Table1[SVG Location],0,0)</f>
        <v>EP</v>
      </c>
      <c r="G874" s="3" t="s">
        <v>1613</v>
      </c>
    </row>
    <row r="875" spans="1:7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tr">
        <f>_xlfn.XLOOKUP(Table3[[#This Row],[Location ]],Table1[Location],Table1[Oracle Location],0,0)</f>
        <v>MONEP</v>
      </c>
      <c r="F875" s="3" t="str">
        <f>_xlfn.XLOOKUP(Table3[[#This Row],[Location ]], Table1[Location],Table1[SVG Location],0,0)</f>
        <v>EP</v>
      </c>
      <c r="G875" s="3" t="s">
        <v>1617</v>
      </c>
    </row>
    <row r="876" spans="1:7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tr">
        <f>_xlfn.XLOOKUP(Table3[[#This Row],[Location ]],Table1[Location],Table1[Oracle Location],0,0)</f>
        <v>MTY 1, MTY1</v>
      </c>
      <c r="F876" s="3" t="str">
        <f>_xlfn.XLOOKUP(Table3[[#This Row],[Location ]], Table1[Location],Table1[SVG Location],0,0)</f>
        <v>Warehouse</v>
      </c>
      <c r="G876" s="3" t="s">
        <v>1613</v>
      </c>
    </row>
    <row r="877" spans="1:7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tr">
        <f>_xlfn.XLOOKUP(Table3[[#This Row],[Location ]],Table1[Location],Table1[Oracle Location],0,0)</f>
        <v>MONXDU</v>
      </c>
      <c r="F877" s="3" t="str">
        <f>_xlfn.XLOOKUP(Table3[[#This Row],[Location ]], Table1[Location],Table1[SVG Location],0,0)</f>
        <v>XDU_1350</v>
      </c>
      <c r="G877" s="3" t="s">
        <v>1617</v>
      </c>
    </row>
    <row r="878" spans="1:7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tr">
        <f>_xlfn.XLOOKUP(Table3[[#This Row],[Location ]],Table1[Location],Table1[Oracle Location],0,0)</f>
        <v>MONXDU</v>
      </c>
      <c r="F878" s="3" t="str">
        <f>_xlfn.XLOOKUP(Table3[[#This Row],[Location ]], Table1[Location],Table1[SVG Location],0,0)</f>
        <v>XDU_1350</v>
      </c>
      <c r="G878" s="3" t="s">
        <v>1613</v>
      </c>
    </row>
    <row r="879" spans="1:7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tr">
        <f>_xlfn.XLOOKUP(Table3[[#This Row],[Location ]],Table1[Location],Table1[Oracle Location],0,0)</f>
        <v>MONPRE</v>
      </c>
      <c r="F879" s="3" t="str">
        <f>_xlfn.XLOOKUP(Table3[[#This Row],[Location ]], Table1[Location],Table1[SVG Location],0,0)</f>
        <v>PRE_L1</v>
      </c>
      <c r="G879" s="3" t="s">
        <v>1615</v>
      </c>
    </row>
    <row r="880" spans="1:7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tr">
        <f>_xlfn.XLOOKUP(Table3[[#This Row],[Location ]],Table1[Location],Table1[Oracle Location],0,0)</f>
        <v>MONDP</v>
      </c>
      <c r="F880" s="3" t="str">
        <f>_xlfn.XLOOKUP(Table3[[#This Row],[Location ]], Table1[Location],Table1[SVG Location],0,0)</f>
        <v>DH_400</v>
      </c>
      <c r="G880" s="3" t="s">
        <v>1615</v>
      </c>
    </row>
    <row r="881" spans="1:7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tr">
        <f>_xlfn.XLOOKUP(Table3[[#This Row],[Location ]],Table1[Location],Table1[Oracle Location],0,0)</f>
        <v>MONDP</v>
      </c>
      <c r="F881" s="3" t="str">
        <f>_xlfn.XLOOKUP(Table3[[#This Row],[Location ]], Table1[Location],Table1[SVG Location],0,0)</f>
        <v>DH_400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tr">
        <f>_xlfn.XLOOKUP(Table3[[#This Row],[Location ]],Table1[Location],Table1[Oracle Location],0,0)</f>
        <v>SHIP</v>
      </c>
      <c r="F882" s="3" t="str">
        <f>_xlfn.XLOOKUP(Table3[[#This Row],[Location ]], Table1[Location],Table1[SVG Location],0,0)</f>
        <v>SHIP</v>
      </c>
      <c r="G882" s="3" t="s">
        <v>1614</v>
      </c>
    </row>
    <row r="883" spans="1:7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tr">
        <f>_xlfn.XLOOKUP(Table3[[#This Row],[Location ]],Table1[Location],Table1[Oracle Location],0,0)</f>
        <v>MONEP</v>
      </c>
      <c r="F883" s="3" t="str">
        <f>_xlfn.XLOOKUP(Table3[[#This Row],[Location ]], Table1[Location],Table1[SVG Location],0,0)</f>
        <v>EP</v>
      </c>
      <c r="G883" s="3" t="s">
        <v>1617</v>
      </c>
    </row>
    <row r="884" spans="1:7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tr">
        <f>_xlfn.XLOOKUP(Table3[[#This Row],[Location ]],Table1[Location],Table1[Oracle Location],0,0)</f>
        <v>MONEP</v>
      </c>
      <c r="F884" s="3" t="str">
        <f>_xlfn.XLOOKUP(Table3[[#This Row],[Location ]], Table1[Location],Table1[SVG Location],0,0)</f>
        <v>EP</v>
      </c>
      <c r="G884" s="3" t="s">
        <v>1617</v>
      </c>
    </row>
    <row r="885" spans="1:7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tr">
        <f>_xlfn.XLOOKUP(Table3[[#This Row],[Location ]],Table1[Location],Table1[Oracle Location],0,0)</f>
        <v>MONEP</v>
      </c>
      <c r="F885" s="3" t="str">
        <f>_xlfn.XLOOKUP(Table3[[#This Row],[Location ]], Table1[Location],Table1[SVG Location],0,0)</f>
        <v>EP</v>
      </c>
      <c r="G885" s="3" t="s">
        <v>1617</v>
      </c>
    </row>
    <row r="886" spans="1:7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tr">
        <f>_xlfn.XLOOKUP(Table3[[#This Row],[Location ]],Table1[Location],Table1[Oracle Location],0,0)</f>
        <v>MONXDU</v>
      </c>
      <c r="F886" s="3" t="str">
        <f>_xlfn.XLOOKUP(Table3[[#This Row],[Location ]], Table1[Location],Table1[SVG Location],0,0)</f>
        <v>XDU_1350</v>
      </c>
      <c r="G886" s="3" t="s">
        <v>1617</v>
      </c>
    </row>
    <row r="887" spans="1:7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tr">
        <f>_xlfn.XLOOKUP(Table3[[#This Row],[Location ]],Table1[Location],Table1[Oracle Location],0,0)</f>
        <v>MONDA</v>
      </c>
      <c r="F887" s="3" t="str">
        <f>_xlfn.XLOOKUP(Table3[[#This Row],[Location ]], Table1[Location],Table1[SVG Location],0,0)</f>
        <v>MONDA</v>
      </c>
      <c r="G887" s="3" t="s">
        <v>1617</v>
      </c>
    </row>
    <row r="888" spans="1:7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tr">
        <f>_xlfn.XLOOKUP(Table3[[#This Row],[Location ]],Table1[Location],Table1[Oracle Location],0,0)</f>
        <v>MONDP</v>
      </c>
      <c r="F888" s="3" t="str">
        <f>_xlfn.XLOOKUP(Table3[[#This Row],[Location ]], Table1[Location],Table1[SVG Location],0,0)</f>
        <v>DH_400</v>
      </c>
      <c r="G888" s="3" t="s">
        <v>1613</v>
      </c>
    </row>
    <row r="889" spans="1:7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tr">
        <f>_xlfn.XLOOKUP(Table3[[#This Row],[Location ]],Table1[Location],Table1[Oracle Location],0,0)</f>
        <v>MONMC</v>
      </c>
      <c r="F889" s="3" t="str">
        <f>_xlfn.XLOOKUP(Table3[[#This Row],[Location ]], Table1[Location],Table1[SVG Location],0,0)</f>
        <v>MC</v>
      </c>
      <c r="G889" s="3" t="s">
        <v>1615</v>
      </c>
    </row>
    <row r="890" spans="1:7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tr">
        <f>_xlfn.XLOOKUP(Table3[[#This Row],[Location ]],Table1[Location],Table1[Oracle Location],0,0)</f>
        <v>MONBLW</v>
      </c>
      <c r="F890" s="3" t="str">
        <f>_xlfn.XLOOKUP(Table3[[#This Row],[Location ]], Table1[Location],Table1[SVG Location],0,0)</f>
        <v>Blower</v>
      </c>
      <c r="G890" s="3" t="s">
        <v>1617</v>
      </c>
    </row>
    <row r="891" spans="1:7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tr">
        <f>_xlfn.XLOOKUP(Table3[[#This Row],[Location ]],Table1[Location],Table1[Oracle Location],0,0)</f>
        <v>MONDP</v>
      </c>
      <c r="F891" s="3" t="str">
        <f>_xlfn.XLOOKUP(Table3[[#This Row],[Location ]], Table1[Location],Table1[SVG Location],0,0)</f>
        <v>DH_400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tr">
        <f>_xlfn.XLOOKUP(Table3[[#This Row],[Location ]],Table1[Location],Table1[Oracle Location],0,0)</f>
        <v>MONMC</v>
      </c>
      <c r="F892" s="3" t="str">
        <f>_xlfn.XLOOKUP(Table3[[#This Row],[Location ]], Table1[Location],Table1[SVG Location],0,0)</f>
        <v>MC</v>
      </c>
      <c r="G892" s="3" t="s">
        <v>1616</v>
      </c>
    </row>
    <row r="893" spans="1:7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tr">
        <f>_xlfn.XLOOKUP(Table3[[#This Row],[Location ]],Table1[Location],Table1[Oracle Location],0,0)</f>
        <v>MONXDU100</v>
      </c>
      <c r="F893" s="3" t="str">
        <f>_xlfn.XLOOKUP(Table3[[#This Row],[Location ]], Table1[Location],Table1[SVG Location],0,0)</f>
        <v>XDU_100</v>
      </c>
      <c r="G893" s="3" t="s">
        <v>1617</v>
      </c>
    </row>
    <row r="894" spans="1:7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tr">
        <f>_xlfn.XLOOKUP(Table3[[#This Row],[Location ]],Table1[Location],Table1[Oracle Location],0,0)</f>
        <v>MONXDU</v>
      </c>
      <c r="F894" s="3" t="str">
        <f>_xlfn.XLOOKUP(Table3[[#This Row],[Location ]], Table1[Location],Table1[SVG Location],0,0)</f>
        <v>XDU_1350</v>
      </c>
      <c r="G894" s="3" t="s">
        <v>1615</v>
      </c>
    </row>
    <row r="895" spans="1:7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tr">
        <f>_xlfn.XLOOKUP(Table3[[#This Row],[Location ]],Table1[Location],Table1[Oracle Location],0,0)</f>
        <v>MONCOILS</v>
      </c>
      <c r="F895" s="3" t="str">
        <f>_xlfn.XLOOKUP(Table3[[#This Row],[Location ]], Table1[Location],Table1[SVG Location],0,0)</f>
        <v>Coils_Shop</v>
      </c>
      <c r="G895" s="3" t="s">
        <v>1613</v>
      </c>
    </row>
    <row r="896" spans="1:7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tr">
        <f>_xlfn.XLOOKUP(Table3[[#This Row],[Location ]],Table1[Location],Table1[Oracle Location],0,0)</f>
        <v>MONDP</v>
      </c>
      <c r="F896" s="3" t="str">
        <f>_xlfn.XLOOKUP(Table3[[#This Row],[Location ]], Table1[Location],Table1[SVG Location],0,0)</f>
        <v>DH_400</v>
      </c>
      <c r="G896" s="3" t="s">
        <v>1613</v>
      </c>
    </row>
    <row r="897" spans="1:7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tr">
        <f>_xlfn.XLOOKUP(Table3[[#This Row],[Location ]],Table1[Location],Table1[Oracle Location],0,0)</f>
        <v>MONXDU</v>
      </c>
      <c r="F897" s="3" t="str">
        <f>_xlfn.XLOOKUP(Table3[[#This Row],[Location ]], Table1[Location],Table1[SVG Location],0,0)</f>
        <v>XDU_1350</v>
      </c>
      <c r="G897" s="3" t="s">
        <v>1613</v>
      </c>
    </row>
    <row r="898" spans="1:7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tr">
        <f>_xlfn.XLOOKUP(Table3[[#This Row],[Location ]],Table1[Location],Table1[Oracle Location],0,0)</f>
        <v>MONCR</v>
      </c>
      <c r="F898" s="3" t="str">
        <f>_xlfn.XLOOKUP(Table3[[#This Row],[Location ]], Table1[Location],Table1[SVG Location],0,0)</f>
        <v>CR</v>
      </c>
      <c r="G898" s="3" t="s">
        <v>1615</v>
      </c>
    </row>
    <row r="899" spans="1:7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tr">
        <f>_xlfn.XLOOKUP(Table3[[#This Row],[Location ]],Table1[Location],Table1[Oracle Location],0,0)</f>
        <v>MONXDU</v>
      </c>
      <c r="F899" s="3" t="str">
        <f>_xlfn.XLOOKUP(Table3[[#This Row],[Location ]], Table1[Location],Table1[SVG Location],0,0)</f>
        <v>XDU_1350</v>
      </c>
      <c r="G899" s="3" t="s">
        <v>1617</v>
      </c>
    </row>
    <row r="900" spans="1:7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tr">
        <f>_xlfn.XLOOKUP(Table3[[#This Row],[Location ]],Table1[Location],Table1[Oracle Location],0,0)</f>
        <v>MONDP</v>
      </c>
      <c r="F900" s="3" t="str">
        <f>_xlfn.XLOOKUP(Table3[[#This Row],[Location ]], Table1[Location],Table1[SVG Location],0,0)</f>
        <v>DH_400</v>
      </c>
      <c r="G900" s="3" t="s">
        <v>1615</v>
      </c>
    </row>
    <row r="901" spans="1:7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tr">
        <f>_xlfn.XLOOKUP(Table3[[#This Row],[Location ]],Table1[Location],Table1[Oracle Location],0,0)</f>
        <v>MONBLW</v>
      </c>
      <c r="F901" s="3" t="str">
        <f>_xlfn.XLOOKUP(Table3[[#This Row],[Location ]], Table1[Location],Table1[SVG Location],0,0)</f>
        <v>Blower</v>
      </c>
      <c r="G901" s="3" t="s">
        <v>1615</v>
      </c>
    </row>
    <row r="902" spans="1:7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tr">
        <f>_xlfn.XLOOKUP(Table3[[#This Row],[Location ]],Table1[Location],Table1[Oracle Location],0,0)</f>
        <v>MONMC</v>
      </c>
      <c r="F902" s="3" t="str">
        <f>_xlfn.XLOOKUP(Table3[[#This Row],[Location ]], Table1[Location],Table1[SVG Location],0,0)</f>
        <v>MC</v>
      </c>
      <c r="G902" s="3" t="s">
        <v>1617</v>
      </c>
    </row>
    <row r="903" spans="1:7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tr">
        <f>_xlfn.XLOOKUP(Table3[[#This Row],[Location ]],Table1[Location],Table1[Oracle Location],0,0)</f>
        <v>MONXDU</v>
      </c>
      <c r="F903" s="3" t="str">
        <f>_xlfn.XLOOKUP(Table3[[#This Row],[Location ]], Table1[Location],Table1[SVG Location],0,0)</f>
        <v>XDU_1350</v>
      </c>
      <c r="G903" s="3" t="s">
        <v>1617</v>
      </c>
    </row>
    <row r="904" spans="1:7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tr">
        <f>_xlfn.XLOOKUP(Table3[[#This Row],[Location ]],Table1[Location],Table1[Oracle Location],0,0)</f>
        <v>MONBLW</v>
      </c>
      <c r="F904" s="3" t="str">
        <f>_xlfn.XLOOKUP(Table3[[#This Row],[Location ]], Table1[Location],Table1[SVG Location],0,0)</f>
        <v>Blower</v>
      </c>
      <c r="G904" s="3" t="s">
        <v>1617</v>
      </c>
    </row>
    <row r="905" spans="1:7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tr">
        <f>_xlfn.XLOOKUP(Table3[[#This Row],[Location ]],Table1[Location],Table1[Oracle Location],0,0)</f>
        <v>MONMC</v>
      </c>
      <c r="F905" s="3" t="str">
        <f>_xlfn.XLOOKUP(Table3[[#This Row],[Location ]], Table1[Location],Table1[SVG Location],0,0)</f>
        <v>MC</v>
      </c>
      <c r="G905" s="3" t="s">
        <v>1617</v>
      </c>
    </row>
    <row r="906" spans="1:7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tr">
        <f>_xlfn.XLOOKUP(Table3[[#This Row],[Location ]],Table1[Location],Table1[Oracle Location],0,0)</f>
        <v>MONPRE</v>
      </c>
      <c r="F906" s="3" t="str">
        <f>_xlfn.XLOOKUP(Table3[[#This Row],[Location ]], Table1[Location],Table1[SVG Location],0,0)</f>
        <v>PRE_L1</v>
      </c>
      <c r="G906" s="3" t="s">
        <v>1615</v>
      </c>
    </row>
    <row r="907" spans="1:7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tr">
        <f>_xlfn.XLOOKUP(Table3[[#This Row],[Location ]],Table1[Location],Table1[Oracle Location],0,0)</f>
        <v>MONDA</v>
      </c>
      <c r="F907" s="3" t="str">
        <f>_xlfn.XLOOKUP(Table3[[#This Row],[Location ]], Table1[Location],Table1[SVG Location],0,0)</f>
        <v>MONDA</v>
      </c>
      <c r="G907" s="3" t="s">
        <v>1617</v>
      </c>
    </row>
    <row r="908" spans="1:7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tr">
        <f>_xlfn.XLOOKUP(Table3[[#This Row],[Location ]],Table1[Location],Table1[Oracle Location],0,0)</f>
        <v>MONDP</v>
      </c>
      <c r="F908" s="3" t="str">
        <f>_xlfn.XLOOKUP(Table3[[#This Row],[Location ]], Table1[Location],Table1[SVG Location],0,0)</f>
        <v>DH_400</v>
      </c>
      <c r="G908" s="3" t="s">
        <v>1617</v>
      </c>
    </row>
    <row r="909" spans="1:7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tr">
        <f>_xlfn.XLOOKUP(Table3[[#This Row],[Location ]],Table1[Location],Table1[Oracle Location],0,0)</f>
        <v>MONXDU</v>
      </c>
      <c r="F909" s="3" t="str">
        <f>_xlfn.XLOOKUP(Table3[[#This Row],[Location ]], Table1[Location],Table1[SVG Location],0,0)</f>
        <v>XDU_1350</v>
      </c>
      <c r="G909" s="3" t="s">
        <v>1615</v>
      </c>
    </row>
    <row r="910" spans="1:7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tr">
        <f>_xlfn.XLOOKUP(Table3[[#This Row],[Location ]],Table1[Location],Table1[Oracle Location],0,0)</f>
        <v>MONDP</v>
      </c>
      <c r="F910" s="3" t="str">
        <f>_xlfn.XLOOKUP(Table3[[#This Row],[Location ]], Table1[Location],Table1[SVG Location],0,0)</f>
        <v>DH_400</v>
      </c>
      <c r="G910" s="3" t="s">
        <v>1617</v>
      </c>
    </row>
    <row r="911" spans="1:7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tr">
        <f>_xlfn.XLOOKUP(Table3[[#This Row],[Location ]],Table1[Location],Table1[Oracle Location],0,0)</f>
        <v>MONDP</v>
      </c>
      <c r="F911" s="3" t="str">
        <f>_xlfn.XLOOKUP(Table3[[#This Row],[Location ]], Table1[Location],Table1[SVG Location],0,0)</f>
        <v>DH_400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tr">
        <f>_xlfn.XLOOKUP(Table3[[#This Row],[Location ]],Table1[Location],Table1[Oracle Location],0,0)</f>
        <v>MONEP</v>
      </c>
      <c r="F912" s="3" t="str">
        <f>_xlfn.XLOOKUP(Table3[[#This Row],[Location ]], Table1[Location],Table1[SVG Location],0,0)</f>
        <v>EP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tr">
        <f>_xlfn.XLOOKUP(Table3[[#This Row],[Location ]],Table1[Location],Table1[Oracle Location],0,0)</f>
        <v>MONDP</v>
      </c>
      <c r="F913" s="3" t="str">
        <f>_xlfn.XLOOKUP(Table3[[#This Row],[Location ]], Table1[Location],Table1[SVG Location],0,0)</f>
        <v>DH_400</v>
      </c>
      <c r="G913" s="3" t="s">
        <v>1614</v>
      </c>
    </row>
    <row r="914" spans="1:7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tr">
        <f>_xlfn.XLOOKUP(Table3[[#This Row],[Location ]],Table1[Location],Table1[Oracle Location],0,0)</f>
        <v>MONMC</v>
      </c>
      <c r="F914" s="3" t="str">
        <f>_xlfn.XLOOKUP(Table3[[#This Row],[Location ]], Table1[Location],Table1[SVG Location],0,0)</f>
        <v>MC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f>_xlfn.XLOOKUP(Table3[[#This Row],[Location ]],Table1[Location],Table1[Oracle Location],0,0)</f>
        <v>0</v>
      </c>
      <c r="F915" s="3">
        <f>_xlfn.XLOOKUP(Table3[[#This Row],[Location ]], Table1[Location],Table1[SVG Location],0,0)</f>
        <v>0</v>
      </c>
      <c r="G915" s="3" t="s">
        <v>1614</v>
      </c>
    </row>
    <row r="916" spans="1:7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tr">
        <f>_xlfn.XLOOKUP(Table3[[#This Row],[Location ]],Table1[Location],Table1[Oracle Location],0,0)</f>
        <v>MONDP</v>
      </c>
      <c r="F916" s="3" t="str">
        <f>_xlfn.XLOOKUP(Table3[[#This Row],[Location ]], Table1[Location],Table1[SVG Location],0,0)</f>
        <v>DH_400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tr">
        <f>_xlfn.XLOOKUP(Table3[[#This Row],[Location ]],Table1[Location],Table1[Oracle Location],0,0)</f>
        <v>MTY 1, MTY1</v>
      </c>
      <c r="F917" s="3" t="str">
        <f>_xlfn.XLOOKUP(Table3[[#This Row],[Location ]], Table1[Location],Table1[SVG Location],0,0)</f>
        <v>Warehouse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tr">
        <f>_xlfn.XLOOKUP(Table3[[#This Row],[Location ]],Table1[Location],Table1[Oracle Location],0,0)</f>
        <v>MONXDM</v>
      </c>
      <c r="F918" s="3" t="str">
        <f>_xlfn.XLOOKUP(Table3[[#This Row],[Location ]], Table1[Location],Table1[SVG Location],0,0)</f>
        <v>XDM</v>
      </c>
      <c r="G918" s="3" t="s">
        <v>1614</v>
      </c>
    </row>
    <row r="919" spans="1:7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tr">
        <f>_xlfn.XLOOKUP(Table3[[#This Row],[Location ]],Table1[Location],Table1[Oracle Location],0,0)</f>
        <v>MONBLW</v>
      </c>
      <c r="F919" s="3" t="str">
        <f>_xlfn.XLOOKUP(Table3[[#This Row],[Location ]], Table1[Location],Table1[SVG Location],0,0)</f>
        <v>Blower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tr">
        <f>_xlfn.XLOOKUP(Table3[[#This Row],[Location ]],Table1[Location],Table1[Oracle Location],0,0)</f>
        <v>ALL</v>
      </c>
      <c r="F920" s="3" t="str">
        <f>_xlfn.XLOOKUP(Table3[[#This Row],[Location ]], Table1[Location],Table1[SVG Location],0,0)</f>
        <v>ALL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tr">
        <f>_xlfn.XLOOKUP(Table3[[#This Row],[Location ]],Table1[Location],Table1[Oracle Location],0,0)</f>
        <v>MONCOILS</v>
      </c>
      <c r="F921" s="3" t="str">
        <f>_xlfn.XLOOKUP(Table3[[#This Row],[Location ]], Table1[Location],Table1[SVG Location],0,0)</f>
        <v>Coils_Shop</v>
      </c>
      <c r="G921" s="3" t="s">
        <v>1616</v>
      </c>
    </row>
    <row r="922" spans="1:7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tr">
        <f>_xlfn.XLOOKUP(Table3[[#This Row],[Location ]],Table1[Location],Table1[Oracle Location],0,0)</f>
        <v>MTY 1, MTY1</v>
      </c>
      <c r="F922" s="3" t="str">
        <f>_xlfn.XLOOKUP(Table3[[#This Row],[Location ]], Table1[Location],Table1[SVG Location],0,0)</f>
        <v>Warehouse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tr">
        <f>_xlfn.XLOOKUP(Table3[[#This Row],[Location ]],Table1[Location],Table1[Oracle Location],0,0)</f>
        <v>MONSM</v>
      </c>
      <c r="F923" s="3" t="str">
        <f>_xlfn.XLOOKUP(Table3[[#This Row],[Location ]], Table1[Location],Table1[SVG Location],0,0)</f>
        <v>Sheet_Metal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tr">
        <f>_xlfn.XLOOKUP(Table3[[#This Row],[Location ]],Table1[Location],Table1[Oracle Location],0,0)</f>
        <v>MONDP</v>
      </c>
      <c r="F924" s="3" t="str">
        <f>_xlfn.XLOOKUP(Table3[[#This Row],[Location ]], Table1[Location],Table1[SVG Location],0,0)</f>
        <v>DH_400</v>
      </c>
      <c r="G924" s="3" t="s">
        <v>1614</v>
      </c>
    </row>
    <row r="925" spans="1:7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tr">
        <f>_xlfn.XLOOKUP(Table3[[#This Row],[Location ]],Table1[Location],Table1[Oracle Location],0,0)</f>
        <v>MONEP</v>
      </c>
      <c r="F925" s="3" t="str">
        <f>_xlfn.XLOOKUP(Table3[[#This Row],[Location ]], Table1[Location],Table1[SVG Location],0,0)</f>
        <v>EP</v>
      </c>
      <c r="G925" s="3" t="s">
        <v>1617</v>
      </c>
    </row>
    <row r="926" spans="1:7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tr">
        <f>_xlfn.XLOOKUP(Table3[[#This Row],[Location ]],Table1[Location],Table1[Oracle Location],0,0)</f>
        <v>MONPRE</v>
      </c>
      <c r="F926" s="3" t="str">
        <f>_xlfn.XLOOKUP(Table3[[#This Row],[Location ]], Table1[Location],Table1[SVG Location],0,0)</f>
        <v>PRE_L1</v>
      </c>
      <c r="G926" s="3" t="s">
        <v>1617</v>
      </c>
    </row>
    <row r="927" spans="1:7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tr">
        <f>_xlfn.XLOOKUP(Table3[[#This Row],[Location ]],Table1[Location],Table1[Oracle Location],0,0)</f>
        <v>MONCOILS</v>
      </c>
      <c r="F927" s="3" t="str">
        <f>_xlfn.XLOOKUP(Table3[[#This Row],[Location ]], Table1[Location],Table1[SVG Location],0,0)</f>
        <v>Coils_Shop</v>
      </c>
      <c r="G927" s="3" t="s">
        <v>1613</v>
      </c>
    </row>
    <row r="928" spans="1:7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tr">
        <f>_xlfn.XLOOKUP(Table3[[#This Row],[Location ]],Table1[Location],Table1[Oracle Location],0,0)</f>
        <v>MONXDU100</v>
      </c>
      <c r="F928" s="3" t="str">
        <f>_xlfn.XLOOKUP(Table3[[#This Row],[Location ]], Table1[Location],Table1[SVG Location],0,0)</f>
        <v>XDU_100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tr">
        <f>_xlfn.XLOOKUP(Table3[[#This Row],[Location ]],Table1[Location],Table1[Oracle Location],0,0)</f>
        <v>MONEP</v>
      </c>
      <c r="F929" s="3" t="str">
        <f>_xlfn.XLOOKUP(Table3[[#This Row],[Location ]], Table1[Location],Table1[SVG Location],0,0)</f>
        <v>EP</v>
      </c>
      <c r="G929" s="3" t="s">
        <v>1616</v>
      </c>
    </row>
    <row r="930" spans="1:7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tr">
        <f>_xlfn.XLOOKUP(Table3[[#This Row],[Location ]],Table1[Location],Table1[Oracle Location],0,0)</f>
        <v>MONXDU</v>
      </c>
      <c r="F930" s="3" t="str">
        <f>_xlfn.XLOOKUP(Table3[[#This Row],[Location ]], Table1[Location],Table1[SVG Location],0,0)</f>
        <v>XDU_1350</v>
      </c>
      <c r="G930" s="3" t="s">
        <v>1617</v>
      </c>
    </row>
    <row r="931" spans="1:7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tr">
        <f>_xlfn.XLOOKUP(Table3[[#This Row],[Location ]],Table1[Location],Table1[Oracle Location],0,0)</f>
        <v>MONDP</v>
      </c>
      <c r="F931" s="3" t="str">
        <f>_xlfn.XLOOKUP(Table3[[#This Row],[Location ]], Table1[Location],Table1[SVG Location],0,0)</f>
        <v>DH_400</v>
      </c>
      <c r="G931" s="3" t="s">
        <v>1613</v>
      </c>
    </row>
    <row r="932" spans="1:7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tr">
        <f>_xlfn.XLOOKUP(Table3[[#This Row],[Location ]],Table1[Location],Table1[Oracle Location],0,0)</f>
        <v>MTY 1, MTY1</v>
      </c>
      <c r="F932" s="3" t="str">
        <f>_xlfn.XLOOKUP(Table3[[#This Row],[Location ]], Table1[Location],Table1[SVG Location],0,0)</f>
        <v>Warehouse</v>
      </c>
      <c r="G932" s="3" t="s">
        <v>1617</v>
      </c>
    </row>
    <row r="933" spans="1:7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tr">
        <f>_xlfn.XLOOKUP(Table3[[#This Row],[Location ]],Table1[Location],Table1[Oracle Location],0,0)</f>
        <v>MONXDU</v>
      </c>
      <c r="F933" s="3" t="str">
        <f>_xlfn.XLOOKUP(Table3[[#This Row],[Location ]], Table1[Location],Table1[SVG Location],0,0)</f>
        <v>XDU_1350</v>
      </c>
      <c r="G933" s="3" t="s">
        <v>1617</v>
      </c>
    </row>
    <row r="934" spans="1:7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tr">
        <f>_xlfn.XLOOKUP(Table3[[#This Row],[Location ]],Table1[Location],Table1[Oracle Location],0,0)</f>
        <v>MONEP</v>
      </c>
      <c r="F934" s="3" t="str">
        <f>_xlfn.XLOOKUP(Table3[[#This Row],[Location ]], Table1[Location],Table1[SVG Location],0,0)</f>
        <v>EP</v>
      </c>
      <c r="G934" s="3" t="s">
        <v>1613</v>
      </c>
    </row>
    <row r="935" spans="1:7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tr">
        <f>_xlfn.XLOOKUP(Table3[[#This Row],[Location ]],Table1[Location],Table1[Oracle Location],0,0)</f>
        <v>MONEP</v>
      </c>
      <c r="F935" s="3" t="str">
        <f>_xlfn.XLOOKUP(Table3[[#This Row],[Location ]], Table1[Location],Table1[SVG Location],0,0)</f>
        <v>EP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tr">
        <f>_xlfn.XLOOKUP(Table3[[#This Row],[Location ]],Table1[Location],Table1[Oracle Location],0,0)</f>
        <v>MONDP</v>
      </c>
      <c r="F936" s="3" t="str">
        <f>_xlfn.XLOOKUP(Table3[[#This Row],[Location ]], Table1[Location],Table1[SVG Location],0,0)</f>
        <v>DH_400</v>
      </c>
      <c r="G936" s="3" t="s">
        <v>1614</v>
      </c>
    </row>
    <row r="937" spans="1:7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tr">
        <f>_xlfn.XLOOKUP(Table3[[#This Row],[Location ]],Table1[Location],Table1[Oracle Location],0,0)</f>
        <v>MONXDU</v>
      </c>
      <c r="F937" s="3" t="str">
        <f>_xlfn.XLOOKUP(Table3[[#This Row],[Location ]], Table1[Location],Table1[SVG Location],0,0)</f>
        <v>XDU_1350</v>
      </c>
      <c r="G937" s="3" t="s">
        <v>1617</v>
      </c>
    </row>
    <row r="938" spans="1:7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tr">
        <f>_xlfn.XLOOKUP(Table3[[#This Row],[Location ]],Table1[Location],Table1[Oracle Location],0,0)</f>
        <v>MONCOILS</v>
      </c>
      <c r="F938" s="3" t="str">
        <f>_xlfn.XLOOKUP(Table3[[#This Row],[Location ]], Table1[Location],Table1[SVG Location],0,0)</f>
        <v>Coils_Shop</v>
      </c>
      <c r="G938" s="3" t="s">
        <v>1613</v>
      </c>
    </row>
    <row r="939" spans="1:7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tr">
        <f>_xlfn.XLOOKUP(Table3[[#This Row],[Location ]],Table1[Location],Table1[Oracle Location],0,0)</f>
        <v>SHIP</v>
      </c>
      <c r="F939" s="3" t="str">
        <f>_xlfn.XLOOKUP(Table3[[#This Row],[Location ]], Table1[Location],Table1[SVG Location],0,0)</f>
        <v>SHIP</v>
      </c>
      <c r="G939" s="3" t="s">
        <v>1615</v>
      </c>
    </row>
    <row r="940" spans="1:7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tr">
        <f>_xlfn.XLOOKUP(Table3[[#This Row],[Location ]],Table1[Location],Table1[Oracle Location],0,0)</f>
        <v>MTY 1, MTY1</v>
      </c>
      <c r="F940" s="3" t="str">
        <f>_xlfn.XLOOKUP(Table3[[#This Row],[Location ]], Table1[Location],Table1[SVG Location],0,0)</f>
        <v>Warehouse</v>
      </c>
      <c r="G940" s="3" t="s">
        <v>1617</v>
      </c>
    </row>
    <row r="941" spans="1:7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tr">
        <f>_xlfn.XLOOKUP(Table3[[#This Row],[Location ]],Table1[Location],Table1[Oracle Location],0,0)</f>
        <v>MONXDU</v>
      </c>
      <c r="F941" s="3" t="str">
        <f>_xlfn.XLOOKUP(Table3[[#This Row],[Location ]], Table1[Location],Table1[SVG Location],0,0)</f>
        <v>XDU_1350</v>
      </c>
      <c r="G941" s="3" t="s">
        <v>1613</v>
      </c>
    </row>
    <row r="942" spans="1:7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tr">
        <f>_xlfn.XLOOKUP(Table3[[#This Row],[Location ]],Table1[Location],Table1[Oracle Location],0,0)</f>
        <v>MONDP</v>
      </c>
      <c r="F942" s="3" t="str">
        <f>_xlfn.XLOOKUP(Table3[[#This Row],[Location ]], Table1[Location],Table1[SVG Location],0,0)</f>
        <v>DH_400</v>
      </c>
      <c r="G942" s="3" t="s">
        <v>1613</v>
      </c>
    </row>
    <row r="943" spans="1:7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tr">
        <f>_xlfn.XLOOKUP(Table3[[#This Row],[Location ]],Table1[Location],Table1[Oracle Location],0,0)</f>
        <v>MONCOILS</v>
      </c>
      <c r="F943" s="3" t="str">
        <f>_xlfn.XLOOKUP(Table3[[#This Row],[Location ]], Table1[Location],Table1[SVG Location],0,0)</f>
        <v>Coils_Shop</v>
      </c>
      <c r="G943" s="3" t="s">
        <v>1613</v>
      </c>
    </row>
    <row r="944" spans="1:7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tr">
        <f>_xlfn.XLOOKUP(Table3[[#This Row],[Location ]],Table1[Location],Table1[Oracle Location],0,0)</f>
        <v>MONPRE</v>
      </c>
      <c r="F944" s="3" t="str">
        <f>_xlfn.XLOOKUP(Table3[[#This Row],[Location ]], Table1[Location],Table1[SVG Location],0,0)</f>
        <v>PRE_L1</v>
      </c>
      <c r="G944" s="3" t="s">
        <v>1615</v>
      </c>
    </row>
    <row r="945" spans="1:7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tr">
        <f>_xlfn.XLOOKUP(Table3[[#This Row],[Location ]],Table1[Location],Table1[Oracle Location],0,0)</f>
        <v>MONXDM</v>
      </c>
      <c r="F945" s="3" t="str">
        <f>_xlfn.XLOOKUP(Table3[[#This Row],[Location ]], Table1[Location],Table1[SVG Location],0,0)</f>
        <v>XDM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tr">
        <f>_xlfn.XLOOKUP(Table3[[#This Row],[Location ]],Table1[Location],Table1[Oracle Location],0,0)</f>
        <v>MONXDU</v>
      </c>
      <c r="F946" s="3" t="str">
        <f>_xlfn.XLOOKUP(Table3[[#This Row],[Location ]], Table1[Location],Table1[SVG Location],0,0)</f>
        <v>XDU_1350</v>
      </c>
      <c r="G946" s="3" t="s">
        <v>1614</v>
      </c>
    </row>
    <row r="947" spans="1:7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tr">
        <f>_xlfn.XLOOKUP(Table3[[#This Row],[Location ]],Table1[Location],Table1[Oracle Location],0,0)</f>
        <v>MONDP</v>
      </c>
      <c r="F947" s="3" t="str">
        <f>_xlfn.XLOOKUP(Table3[[#This Row],[Location ]], Table1[Location],Table1[SVG Location],0,0)</f>
        <v>DH_400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tr">
        <f>_xlfn.XLOOKUP(Table3[[#This Row],[Location ]],Table1[Location],Table1[Oracle Location],0,0)</f>
        <v>MONKITS</v>
      </c>
      <c r="F948" s="3" t="str">
        <f>_xlfn.XLOOKUP(Table3[[#This Row],[Location ]], Table1[Location],Table1[SVG Location],0,0)</f>
        <v>Kits</v>
      </c>
      <c r="G948" s="3" t="s">
        <v>1614</v>
      </c>
    </row>
    <row r="949" spans="1:7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tr">
        <f>_xlfn.XLOOKUP(Table3[[#This Row],[Location ]],Table1[Location],Table1[Oracle Location],0,0)</f>
        <v>MONEP</v>
      </c>
      <c r="F949" s="3" t="str">
        <f>_xlfn.XLOOKUP(Table3[[#This Row],[Location ]], Table1[Location],Table1[SVG Location],0,0)</f>
        <v>EP</v>
      </c>
      <c r="G949" s="3" t="s">
        <v>1617</v>
      </c>
    </row>
    <row r="950" spans="1:7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tr">
        <f>_xlfn.XLOOKUP(Table3[[#This Row],[Location ]],Table1[Location],Table1[Oracle Location],0,0)</f>
        <v>MONDP</v>
      </c>
      <c r="F950" s="3" t="str">
        <f>_xlfn.XLOOKUP(Table3[[#This Row],[Location ]], Table1[Location],Table1[SVG Location],0,0)</f>
        <v>DH_400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tr">
        <f>_xlfn.XLOOKUP(Table3[[#This Row],[Location ]],Table1[Location],Table1[Oracle Location],0,0)</f>
        <v>MONMC</v>
      </c>
      <c r="F951" s="3" t="str">
        <f>_xlfn.XLOOKUP(Table3[[#This Row],[Location ]], Table1[Location],Table1[SVG Location],0,0)</f>
        <v>MC</v>
      </c>
      <c r="G951" s="3" t="s">
        <v>1616</v>
      </c>
    </row>
    <row r="952" spans="1:7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tr">
        <f>_xlfn.XLOOKUP(Table3[[#This Row],[Location ]],Table1[Location],Table1[Oracle Location],0,0)</f>
        <v>MONBLW</v>
      </c>
      <c r="F952" s="3" t="str">
        <f>_xlfn.XLOOKUP(Table3[[#This Row],[Location ]], Table1[Location],Table1[SVG Location],0,0)</f>
        <v>Blower</v>
      </c>
      <c r="G952" s="3" t="s">
        <v>1617</v>
      </c>
    </row>
    <row r="953" spans="1:7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tr">
        <f>_xlfn.XLOOKUP(Table3[[#This Row],[Location ]],Table1[Location],Table1[Oracle Location],0,0)</f>
        <v>MONCR</v>
      </c>
      <c r="F953" s="3" t="str">
        <f>_xlfn.XLOOKUP(Table3[[#This Row],[Location ]], Table1[Location],Table1[SVG Location],0,0)</f>
        <v>CR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tr">
        <f>_xlfn.XLOOKUP(Table3[[#This Row],[Location ]],Table1[Location],Table1[Oracle Location],0,0)</f>
        <v>MONXDU</v>
      </c>
      <c r="F954" s="3" t="str">
        <f>_xlfn.XLOOKUP(Table3[[#This Row],[Location ]], Table1[Location],Table1[SVG Location],0,0)</f>
        <v>XDU_1350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tr">
        <f>_xlfn.XLOOKUP(Table3[[#This Row],[Location ]],Table1[Location],Table1[Oracle Location],0,0)</f>
        <v>MONXDM</v>
      </c>
      <c r="F955" s="3" t="str">
        <f>_xlfn.XLOOKUP(Table3[[#This Row],[Location ]], Table1[Location],Table1[SVG Location],0,0)</f>
        <v>XDM</v>
      </c>
      <c r="G955" s="3" t="s">
        <v>1616</v>
      </c>
    </row>
    <row r="956" spans="1:7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tr">
        <f>_xlfn.XLOOKUP(Table3[[#This Row],[Location ]],Table1[Location],Table1[Oracle Location],0,0)</f>
        <v>MONEP</v>
      </c>
      <c r="F956" s="3" t="str">
        <f>_xlfn.XLOOKUP(Table3[[#This Row],[Location ]], Table1[Location],Table1[SVG Location],0,0)</f>
        <v>EP</v>
      </c>
      <c r="G956" s="3" t="s">
        <v>1613</v>
      </c>
    </row>
    <row r="957" spans="1:7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tr">
        <f>_xlfn.XLOOKUP(Table3[[#This Row],[Location ]],Table1[Location],Table1[Oracle Location],0,0)</f>
        <v>MTY 1, MTY1</v>
      </c>
      <c r="F957" s="3" t="str">
        <f>_xlfn.XLOOKUP(Table3[[#This Row],[Location ]], Table1[Location],Table1[SVG Location],0,0)</f>
        <v>Warehouse</v>
      </c>
      <c r="G957" s="3" t="s">
        <v>1613</v>
      </c>
    </row>
    <row r="958" spans="1:7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tr">
        <f>_xlfn.XLOOKUP(Table3[[#This Row],[Location ]],Table1[Location],Table1[Oracle Location],0,0)</f>
        <v>MTY 1, MTY1</v>
      </c>
      <c r="F958" s="3" t="str">
        <f>_xlfn.XLOOKUP(Table3[[#This Row],[Location ]], Table1[Location],Table1[SVG Location],0,0)</f>
        <v>Warehouse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tr">
        <f>_xlfn.XLOOKUP(Table3[[#This Row],[Location ]],Table1[Location],Table1[Oracle Location],0,0)</f>
        <v>MTY3</v>
      </c>
      <c r="F959" s="3" t="str">
        <f>_xlfn.XLOOKUP(Table3[[#This Row],[Location ]], Table1[Location],Table1[SVG Location],0,0)</f>
        <v>MTY3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tr">
        <f>_xlfn.XLOOKUP(Table3[[#This Row],[Location ]],Table1[Location],Table1[Oracle Location],0,0)</f>
        <v>MON-AFC</v>
      </c>
      <c r="F960" s="3" t="str">
        <f>_xlfn.XLOOKUP(Table3[[#This Row],[Location ]], Table1[Location],Table1[SVG Location],0,0)</f>
        <v>AFC</v>
      </c>
      <c r="G960" s="3" t="s">
        <v>1614</v>
      </c>
    </row>
    <row r="961" spans="1:7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tr">
        <f>_xlfn.XLOOKUP(Table3[[#This Row],[Location ]],Table1[Location],Table1[Oracle Location],0,0)</f>
        <v>MONDP</v>
      </c>
      <c r="F961" s="3" t="str">
        <f>_xlfn.XLOOKUP(Table3[[#This Row],[Location ]], Table1[Location],Table1[SVG Location],0,0)</f>
        <v>DH_400</v>
      </c>
      <c r="G961" s="3" t="s">
        <v>1615</v>
      </c>
    </row>
    <row r="962" spans="1:7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tr">
        <f>_xlfn.XLOOKUP(Table3[[#This Row],[Location ]],Table1[Location],Table1[Oracle Location],0,0)</f>
        <v>MONSM</v>
      </c>
      <c r="F962" s="3" t="str">
        <f>_xlfn.XLOOKUP(Table3[[#This Row],[Location ]], Table1[Location],Table1[SVG Location],0,0)</f>
        <v>Sheet_Metal</v>
      </c>
      <c r="G962" s="3" t="s">
        <v>1615</v>
      </c>
    </row>
    <row r="963" spans="1:7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tr">
        <f>_xlfn.XLOOKUP(Table3[[#This Row],[Location ]],Table1[Location],Table1[Oracle Location],0,0)</f>
        <v>MONDP</v>
      </c>
      <c r="F963" s="3" t="str">
        <f>_xlfn.XLOOKUP(Table3[[#This Row],[Location ]], Table1[Location],Table1[SVG Location],0,0)</f>
        <v>DH_400</v>
      </c>
      <c r="G963" s="3" t="s">
        <v>1613</v>
      </c>
    </row>
    <row r="964" spans="1:7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tr">
        <f>_xlfn.XLOOKUP(Table3[[#This Row],[Location ]],Table1[Location],Table1[Oracle Location],0,0)</f>
        <v>MONEP</v>
      </c>
      <c r="F964" s="3" t="str">
        <f>_xlfn.XLOOKUP(Table3[[#This Row],[Location ]], Table1[Location],Table1[SVG Location],0,0)</f>
        <v>EP</v>
      </c>
      <c r="G964" s="3" t="s">
        <v>1615</v>
      </c>
    </row>
    <row r="965" spans="1:7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tr">
        <f>_xlfn.XLOOKUP(Table3[[#This Row],[Location ]],Table1[Location],Table1[Oracle Location],0,0)</f>
        <v>MONBLW</v>
      </c>
      <c r="F965" s="3" t="str">
        <f>_xlfn.XLOOKUP(Table3[[#This Row],[Location ]], Table1[Location],Table1[SVG Location],0,0)</f>
        <v>Blower</v>
      </c>
      <c r="G965" s="3" t="s">
        <v>1615</v>
      </c>
    </row>
    <row r="966" spans="1:7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tr">
        <f>_xlfn.XLOOKUP(Table3[[#This Row],[Location ]],Table1[Location],Table1[Oracle Location],0,0)</f>
        <v>MONEP</v>
      </c>
      <c r="F966" s="3" t="str">
        <f>_xlfn.XLOOKUP(Table3[[#This Row],[Location ]], Table1[Location],Table1[SVG Location],0,0)</f>
        <v>EP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tr">
        <f>_xlfn.XLOOKUP(Table3[[#This Row],[Location ]],Table1[Location],Table1[Oracle Location],0,0)</f>
        <v>MTY 1, MTY1</v>
      </c>
      <c r="F967" s="3" t="str">
        <f>_xlfn.XLOOKUP(Table3[[#This Row],[Location ]], Table1[Location],Table1[SVG Location],0,0)</f>
        <v>Warehouse</v>
      </c>
      <c r="G967" s="3" t="s">
        <v>1616</v>
      </c>
    </row>
    <row r="968" spans="1:7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tr">
        <f>_xlfn.XLOOKUP(Table3[[#This Row],[Location ]],Table1[Location],Table1[Oracle Location],0,0)</f>
        <v>MONDP</v>
      </c>
      <c r="F968" s="3" t="str">
        <f>_xlfn.XLOOKUP(Table3[[#This Row],[Location ]], Table1[Location],Table1[SVG Location],0,0)</f>
        <v>DH_400</v>
      </c>
      <c r="G968" s="3" t="s">
        <v>1615</v>
      </c>
    </row>
    <row r="969" spans="1:7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tr">
        <f>_xlfn.XLOOKUP(Table3[[#This Row],[Location ]],Table1[Location],Table1[Oracle Location],0,0)</f>
        <v>MONDP</v>
      </c>
      <c r="F969" s="3" t="str">
        <f>_xlfn.XLOOKUP(Table3[[#This Row],[Location ]], Table1[Location],Table1[SVG Location],0,0)</f>
        <v>DH_400</v>
      </c>
      <c r="G969" s="3" t="s">
        <v>1613</v>
      </c>
    </row>
    <row r="970" spans="1:7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tr">
        <f>_xlfn.XLOOKUP(Table3[[#This Row],[Location ]],Table1[Location],Table1[Oracle Location],0,0)</f>
        <v>MONMC</v>
      </c>
      <c r="F970" s="3" t="str">
        <f>_xlfn.XLOOKUP(Table3[[#This Row],[Location ]], Table1[Location],Table1[SVG Location],0,0)</f>
        <v>MC</v>
      </c>
      <c r="G970" s="3" t="s">
        <v>1615</v>
      </c>
    </row>
    <row r="971" spans="1:7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tr">
        <f>_xlfn.XLOOKUP(Table3[[#This Row],[Location ]],Table1[Location],Table1[Oracle Location],0,0)</f>
        <v>MONMC</v>
      </c>
      <c r="F971" s="3" t="str">
        <f>_xlfn.XLOOKUP(Table3[[#This Row],[Location ]], Table1[Location],Table1[SVG Location],0,0)</f>
        <v>MC</v>
      </c>
      <c r="G971" s="3" t="s">
        <v>1617</v>
      </c>
    </row>
    <row r="972" spans="1:7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tr">
        <f>_xlfn.XLOOKUP(Table3[[#This Row],[Location ]],Table1[Location],Table1[Oracle Location],0,0)</f>
        <v>MONCOILS</v>
      </c>
      <c r="F972" s="3" t="str">
        <f>_xlfn.XLOOKUP(Table3[[#This Row],[Location ]], Table1[Location],Table1[SVG Location],0,0)</f>
        <v>Coils_Shop</v>
      </c>
      <c r="G972" s="3" t="s">
        <v>1617</v>
      </c>
    </row>
    <row r="973" spans="1:7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tr">
        <f>_xlfn.XLOOKUP(Table3[[#This Row],[Location ]],Table1[Location],Table1[Oracle Location],0,0)</f>
        <v>MONDA</v>
      </c>
      <c r="F973" s="3" t="str">
        <f>_xlfn.XLOOKUP(Table3[[#This Row],[Location ]], Table1[Location],Table1[SVG Location],0,0)</f>
        <v>MONDA</v>
      </c>
      <c r="G973" s="3" t="s">
        <v>1615</v>
      </c>
    </row>
    <row r="974" spans="1:7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tr">
        <f>_xlfn.XLOOKUP(Table3[[#This Row],[Location ]],Table1[Location],Table1[Oracle Location],0,0)</f>
        <v>MONXDU</v>
      </c>
      <c r="F974" s="3" t="str">
        <f>_xlfn.XLOOKUP(Table3[[#This Row],[Location ]], Table1[Location],Table1[SVG Location],0,0)</f>
        <v>XDU_1350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tr">
        <f>_xlfn.XLOOKUP(Table3[[#This Row],[Location ]],Table1[Location],Table1[Oracle Location],0,0)</f>
        <v>MON-AFC</v>
      </c>
      <c r="F975" s="3" t="str">
        <f>_xlfn.XLOOKUP(Table3[[#This Row],[Location ]], Table1[Location],Table1[SVG Location],0,0)</f>
        <v>AFC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tr">
        <f>_xlfn.XLOOKUP(Table3[[#This Row],[Location ]],Table1[Location],Table1[Oracle Location],0,0)</f>
        <v>MONDP</v>
      </c>
      <c r="F976" s="3" t="str">
        <f>_xlfn.XLOOKUP(Table3[[#This Row],[Location ]], Table1[Location],Table1[SVG Location],0,0)</f>
        <v>DH_400</v>
      </c>
      <c r="G976" s="3" t="s">
        <v>1616</v>
      </c>
    </row>
    <row r="977" spans="1:7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tr">
        <f>_xlfn.XLOOKUP(Table3[[#This Row],[Location ]],Table1[Location],Table1[Oracle Location],0,0)</f>
        <v>MONXDU100</v>
      </c>
      <c r="F977" s="3" t="str">
        <f>_xlfn.XLOOKUP(Table3[[#This Row],[Location ]], Table1[Location],Table1[SVG Location],0,0)</f>
        <v>XDU_100</v>
      </c>
      <c r="G977" s="3" t="s">
        <v>1615</v>
      </c>
    </row>
    <row r="978" spans="1:7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tr">
        <f>_xlfn.XLOOKUP(Table3[[#This Row],[Location ]],Table1[Location],Table1[Oracle Location],0,0)</f>
        <v>MTY 1, MTY1</v>
      </c>
      <c r="F978" s="3" t="str">
        <f>_xlfn.XLOOKUP(Table3[[#This Row],[Location ]], Table1[Location],Table1[SVG Location],0,0)</f>
        <v>Warehouse</v>
      </c>
      <c r="G978" s="3" t="s">
        <v>1613</v>
      </c>
    </row>
    <row r="979" spans="1:7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tr">
        <f>_xlfn.XLOOKUP(Table3[[#This Row],[Location ]],Table1[Location],Table1[Oracle Location],0,0)</f>
        <v>MTY 1, MTY1</v>
      </c>
      <c r="F979" s="3" t="str">
        <f>_xlfn.XLOOKUP(Table3[[#This Row],[Location ]], Table1[Location],Table1[SVG Location],0,0)</f>
        <v>Warehouse</v>
      </c>
      <c r="G979" s="3" t="s">
        <v>1617</v>
      </c>
    </row>
    <row r="980" spans="1:7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tr">
        <f>_xlfn.XLOOKUP(Table3[[#This Row],[Location ]],Table1[Location],Table1[Oracle Location],0,0)</f>
        <v>MONCOILS</v>
      </c>
      <c r="F980" s="3" t="str">
        <f>_xlfn.XLOOKUP(Table3[[#This Row],[Location ]], Table1[Location],Table1[SVG Location],0,0)</f>
        <v>Coils_Shop</v>
      </c>
      <c r="G980" s="3" t="s">
        <v>1617</v>
      </c>
    </row>
    <row r="981" spans="1:7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tr">
        <f>_xlfn.XLOOKUP(Table3[[#This Row],[Location ]],Table1[Location],Table1[Oracle Location],0,0)</f>
        <v>MONDP</v>
      </c>
      <c r="F981" s="3" t="str">
        <f>_xlfn.XLOOKUP(Table3[[#This Row],[Location ]], Table1[Location],Table1[SVG Location],0,0)</f>
        <v>DH_400</v>
      </c>
      <c r="G981" s="3" t="s">
        <v>1615</v>
      </c>
    </row>
    <row r="982" spans="1:7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tr">
        <f>_xlfn.XLOOKUP(Table3[[#This Row],[Location ]],Table1[Location],Table1[Oracle Location],0,0)</f>
        <v>MONXDU</v>
      </c>
      <c r="F982" s="3" t="str">
        <f>_xlfn.XLOOKUP(Table3[[#This Row],[Location ]], Table1[Location],Table1[SVG Location],0,0)</f>
        <v>XDU_1350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tr">
        <f>_xlfn.XLOOKUP(Table3[[#This Row],[Location ]],Table1[Location],Table1[Oracle Location],0,0)</f>
        <v>MONXDU100</v>
      </c>
      <c r="F983" s="3" t="str">
        <f>_xlfn.XLOOKUP(Table3[[#This Row],[Location ]], Table1[Location],Table1[SVG Location],0,0)</f>
        <v>XDU_100</v>
      </c>
      <c r="G983" s="3" t="s">
        <v>1616</v>
      </c>
    </row>
    <row r="984" spans="1:7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tr">
        <f>_xlfn.XLOOKUP(Table3[[#This Row],[Location ]],Table1[Location],Table1[Oracle Location],0,0)</f>
        <v>MONEP</v>
      </c>
      <c r="F984" s="3" t="str">
        <f>_xlfn.XLOOKUP(Table3[[#This Row],[Location ]], Table1[Location],Table1[SVG Location],0,0)</f>
        <v>EP</v>
      </c>
      <c r="G984" s="3" t="s">
        <v>1617</v>
      </c>
    </row>
    <row r="985" spans="1:7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tr">
        <f>_xlfn.XLOOKUP(Table3[[#This Row],[Location ]],Table1[Location],Table1[Oracle Location],0,0)</f>
        <v>MONDP</v>
      </c>
      <c r="F985" s="3" t="str">
        <f>_xlfn.XLOOKUP(Table3[[#This Row],[Location ]], Table1[Location],Table1[SVG Location],0,0)</f>
        <v>DH_400</v>
      </c>
      <c r="G985" s="3" t="s">
        <v>1615</v>
      </c>
    </row>
    <row r="986" spans="1:7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tr">
        <f>_xlfn.XLOOKUP(Table3[[#This Row],[Location ]],Table1[Location],Table1[Oracle Location],0,0)</f>
        <v>MONXDU100</v>
      </c>
      <c r="F986" s="3" t="str">
        <f>_xlfn.XLOOKUP(Table3[[#This Row],[Location ]], Table1[Location],Table1[SVG Location],0,0)</f>
        <v>XDU_100</v>
      </c>
      <c r="G986" s="3" t="s">
        <v>1615</v>
      </c>
    </row>
    <row r="987" spans="1:7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tr">
        <f>_xlfn.XLOOKUP(Table3[[#This Row],[Location ]],Table1[Location],Table1[Oracle Location],0,0)</f>
        <v>MONXDU100</v>
      </c>
      <c r="F987" s="3" t="str">
        <f>_xlfn.XLOOKUP(Table3[[#This Row],[Location ]], Table1[Location],Table1[SVG Location],0,0)</f>
        <v>XDU_100</v>
      </c>
      <c r="G987" s="3" t="s">
        <v>1617</v>
      </c>
    </row>
    <row r="988" spans="1:7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tr">
        <f>_xlfn.XLOOKUP(Table3[[#This Row],[Location ]],Table1[Location],Table1[Oracle Location],0,0)</f>
        <v>MONEP</v>
      </c>
      <c r="F988" s="3" t="str">
        <f>_xlfn.XLOOKUP(Table3[[#This Row],[Location ]], Table1[Location],Table1[SVG Location],0,0)</f>
        <v>EP</v>
      </c>
      <c r="G988" s="3" t="s">
        <v>1615</v>
      </c>
    </row>
    <row r="989" spans="1:7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tr">
        <f>_xlfn.XLOOKUP(Table3[[#This Row],[Location ]],Table1[Location],Table1[Oracle Location],0,0)</f>
        <v>MONDP</v>
      </c>
      <c r="F989" s="3" t="str">
        <f>_xlfn.XLOOKUP(Table3[[#This Row],[Location ]], Table1[Location],Table1[SVG Location],0,0)</f>
        <v>DH_400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tr">
        <f>_xlfn.XLOOKUP(Table3[[#This Row],[Location ]],Table1[Location],Table1[Oracle Location],0,0)</f>
        <v>MONXDU100</v>
      </c>
      <c r="F990" s="3" t="str">
        <f>_xlfn.XLOOKUP(Table3[[#This Row],[Location ]], Table1[Location],Table1[SVG Location],0,0)</f>
        <v>XDU_100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f>_xlfn.XLOOKUP(Table3[[#This Row],[Location ]],Table1[Location],Table1[Oracle Location],0,0)</f>
        <v>0</v>
      </c>
      <c r="F991" s="3">
        <f>_xlfn.XLOOKUP(Table3[[#This Row],[Location ]], Table1[Location],Table1[SVG Location],0,0)</f>
        <v>0</v>
      </c>
      <c r="G991" s="3" t="s">
        <v>1614</v>
      </c>
    </row>
    <row r="992" spans="1:7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tr">
        <f>_xlfn.XLOOKUP(Table3[[#This Row],[Location ]],Table1[Location],Table1[Oracle Location],0,0)</f>
        <v>MONCOILS</v>
      </c>
      <c r="F992" s="3" t="str">
        <f>_xlfn.XLOOKUP(Table3[[#This Row],[Location ]], Table1[Location],Table1[SVG Location],0,0)</f>
        <v>Coils_Shop</v>
      </c>
      <c r="G992" s="3" t="s">
        <v>1617</v>
      </c>
    </row>
    <row r="993" spans="1:7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tr">
        <f>_xlfn.XLOOKUP(Table3[[#This Row],[Location ]],Table1[Location],Table1[Oracle Location],0,0)</f>
        <v>MONDP</v>
      </c>
      <c r="F993" s="3" t="str">
        <f>_xlfn.XLOOKUP(Table3[[#This Row],[Location ]], Table1[Location],Table1[SVG Location],0,0)</f>
        <v>DH_400</v>
      </c>
      <c r="G993" s="3" t="s">
        <v>1615</v>
      </c>
    </row>
    <row r="994" spans="1:7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tr">
        <f>_xlfn.XLOOKUP(Table3[[#This Row],[Location ]],Table1[Location],Table1[Oracle Location],0,0)</f>
        <v>MONDP</v>
      </c>
      <c r="F994" s="3" t="str">
        <f>_xlfn.XLOOKUP(Table3[[#This Row],[Location ]], Table1[Location],Table1[SVG Location],0,0)</f>
        <v>DH_400</v>
      </c>
      <c r="G994" s="3" t="s">
        <v>1615</v>
      </c>
    </row>
    <row r="995" spans="1:7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tr">
        <f>_xlfn.XLOOKUP(Table3[[#This Row],[Location ]],Table1[Location],Table1[Oracle Location],0,0)</f>
        <v>MONDP</v>
      </c>
      <c r="F995" s="3" t="str">
        <f>_xlfn.XLOOKUP(Table3[[#This Row],[Location ]], Table1[Location],Table1[SVG Location],0,0)</f>
        <v>DH_400</v>
      </c>
      <c r="G995" s="3" t="s">
        <v>1613</v>
      </c>
    </row>
    <row r="996" spans="1:7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tr">
        <f>_xlfn.XLOOKUP(Table3[[#This Row],[Location ]],Table1[Location],Table1[Oracle Location],0,0)</f>
        <v>MONEP</v>
      </c>
      <c r="F996" s="3" t="str">
        <f>_xlfn.XLOOKUP(Table3[[#This Row],[Location ]], Table1[Location],Table1[SVG Location],0,0)</f>
        <v>EP</v>
      </c>
      <c r="G996" s="3" t="s">
        <v>1617</v>
      </c>
    </row>
    <row r="997" spans="1:7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tr">
        <f>_xlfn.XLOOKUP(Table3[[#This Row],[Location ]],Table1[Location],Table1[Oracle Location],0,0)</f>
        <v>MONCOILS</v>
      </c>
      <c r="F997" s="3" t="str">
        <f>_xlfn.XLOOKUP(Table3[[#This Row],[Location ]], Table1[Location],Table1[SVG Location],0,0)</f>
        <v>Coils_Shop</v>
      </c>
      <c r="G997" s="3" t="s">
        <v>1617</v>
      </c>
    </row>
    <row r="998" spans="1:7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tr">
        <f>_xlfn.XLOOKUP(Table3[[#This Row],[Location ]],Table1[Location],Table1[Oracle Location],0,0)</f>
        <v>MONPRE</v>
      </c>
      <c r="F998" s="3" t="str">
        <f>_xlfn.XLOOKUP(Table3[[#This Row],[Location ]], Table1[Location],Table1[SVG Location],0,0)</f>
        <v>PRE_L1</v>
      </c>
      <c r="G998" s="3" t="s">
        <v>1617</v>
      </c>
    </row>
    <row r="999" spans="1:7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tr">
        <f>_xlfn.XLOOKUP(Table3[[#This Row],[Location ]],Table1[Location],Table1[Oracle Location],0,0)</f>
        <v>SHIP</v>
      </c>
      <c r="F999" s="3" t="str">
        <f>_xlfn.XLOOKUP(Table3[[#This Row],[Location ]], Table1[Location],Table1[SVG Location],0,0)</f>
        <v>SHIP</v>
      </c>
      <c r="G999" s="3" t="s">
        <v>1615</v>
      </c>
    </row>
    <row r="1000" spans="1:7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tr">
        <f>_xlfn.XLOOKUP(Table3[[#This Row],[Location ]],Table1[Location],Table1[Oracle Location],0,0)</f>
        <v>MTY 1, MTY1</v>
      </c>
      <c r="F1000" s="3" t="str">
        <f>_xlfn.XLOOKUP(Table3[[#This Row],[Location ]], Table1[Location],Table1[SVG Location],0,0)</f>
        <v>Warehouse</v>
      </c>
      <c r="G1000" s="3" t="s">
        <v>1613</v>
      </c>
    </row>
    <row r="1001" spans="1:7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tr">
        <f>_xlfn.XLOOKUP(Table3[[#This Row],[Location ]],Table1[Location],Table1[Oracle Location],0,0)</f>
        <v>MONDP</v>
      </c>
      <c r="F1001" s="3" t="str">
        <f>_xlfn.XLOOKUP(Table3[[#This Row],[Location ]], Table1[Location],Table1[SVG Location],0,0)</f>
        <v>DH_400</v>
      </c>
      <c r="G1001" s="3" t="s">
        <v>1617</v>
      </c>
    </row>
    <row r="1002" spans="1:7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tr">
        <f>_xlfn.XLOOKUP(Table3[[#This Row],[Location ]],Table1[Location],Table1[Oracle Location],0,0)</f>
        <v>MONXDU100</v>
      </c>
      <c r="F1002" s="3" t="str">
        <f>_xlfn.XLOOKUP(Table3[[#This Row],[Location ]], Table1[Location],Table1[SVG Location],0,0)</f>
        <v>XDU_100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tr">
        <f>_xlfn.XLOOKUP(Table3[[#This Row],[Location ]],Table1[Location],Table1[Oracle Location],0,0)</f>
        <v>MTY 1, MTY1</v>
      </c>
      <c r="F1003" s="3" t="str">
        <f>_xlfn.XLOOKUP(Table3[[#This Row],[Location ]], Table1[Location],Table1[SVG Location],0,0)</f>
        <v>Warehouse</v>
      </c>
      <c r="G1003" s="3" t="s">
        <v>1616</v>
      </c>
    </row>
    <row r="1004" spans="1:7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tr">
        <f>_xlfn.XLOOKUP(Table3[[#This Row],[Location ]],Table1[Location],Table1[Oracle Location],0,0)</f>
        <v>MONPIPING</v>
      </c>
      <c r="F1004" s="3" t="str">
        <f>_xlfn.XLOOKUP(Table3[[#This Row],[Location ]], Table1[Location],Table1[SVG Location],0,0)</f>
        <v>Piping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tr">
        <f>_xlfn.XLOOKUP(Table3[[#This Row],[Location ]],Table1[Location],Table1[Oracle Location],0,0)</f>
        <v>MONCOILS</v>
      </c>
      <c r="F1005" s="3" t="str">
        <f>_xlfn.XLOOKUP(Table3[[#This Row],[Location ]], Table1[Location],Table1[SVG Location],0,0)</f>
        <v>Coils_Shop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tr">
        <f>_xlfn.XLOOKUP(Table3[[#This Row],[Location ]],Table1[Location],Table1[Oracle Location],0,0)</f>
        <v>MRBM</v>
      </c>
      <c r="F1006" s="3" t="str">
        <f>_xlfn.XLOOKUP(Table3[[#This Row],[Location ]], Table1[Location],Table1[SVG Location],0,0)</f>
        <v>MRB</v>
      </c>
      <c r="G1006" s="3" t="s">
        <v>1616</v>
      </c>
    </row>
    <row r="1007" spans="1:7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tr">
        <f>_xlfn.XLOOKUP(Table3[[#This Row],[Location ]],Table1[Location],Table1[Oracle Location],0,0)</f>
        <v>MONDP</v>
      </c>
      <c r="F1007" s="3" t="str">
        <f>_xlfn.XLOOKUP(Table3[[#This Row],[Location ]], Table1[Location],Table1[SVG Location],0,0)</f>
        <v>DH_400</v>
      </c>
      <c r="G1007" s="3" t="s">
        <v>1617</v>
      </c>
    </row>
    <row r="1008" spans="1:7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tr">
        <f>_xlfn.XLOOKUP(Table3[[#This Row],[Location ]],Table1[Location],Table1[Oracle Location],0,0)</f>
        <v>MONEP</v>
      </c>
      <c r="F1008" s="3" t="str">
        <f>_xlfn.XLOOKUP(Table3[[#This Row],[Location ]], Table1[Location],Table1[SVG Location],0,0)</f>
        <v>EP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tr">
        <f>_xlfn.XLOOKUP(Table3[[#This Row],[Location ]],Table1[Location],Table1[Oracle Location],0,0)</f>
        <v>MONKITS</v>
      </c>
      <c r="F1009" s="3" t="str">
        <f>_xlfn.XLOOKUP(Table3[[#This Row],[Location ]], Table1[Location],Table1[SVG Location],0,0)</f>
        <v>Kits</v>
      </c>
      <c r="G1009" s="3" t="s">
        <v>1614</v>
      </c>
    </row>
    <row r="1010" spans="1:7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tr">
        <f>_xlfn.XLOOKUP(Table3[[#This Row],[Location ]],Table1[Location],Table1[Oracle Location],0,0)</f>
        <v>MONXDU</v>
      </c>
      <c r="F1010" s="3" t="str">
        <f>_xlfn.XLOOKUP(Table3[[#This Row],[Location ]], Table1[Location],Table1[SVG Location],0,0)</f>
        <v>XDU_1350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tr">
        <f>_xlfn.XLOOKUP(Table3[[#This Row],[Location ]],Table1[Location],Table1[Oracle Location],0,0)</f>
        <v>MONDP</v>
      </c>
      <c r="F1011" s="3" t="str">
        <f>_xlfn.XLOOKUP(Table3[[#This Row],[Location ]], Table1[Location],Table1[SVG Location],0,0)</f>
        <v>DH_400</v>
      </c>
      <c r="G1011" s="3" t="s">
        <v>1614</v>
      </c>
    </row>
    <row r="1012" spans="1:7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tr">
        <f>_xlfn.XLOOKUP(Table3[[#This Row],[Location ]],Table1[Location],Table1[Oracle Location],0,0)</f>
        <v>MONDP</v>
      </c>
      <c r="F1012" s="3" t="str">
        <f>_xlfn.XLOOKUP(Table3[[#This Row],[Location ]], Table1[Location],Table1[SVG Location],0,0)</f>
        <v>DH_400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tr">
        <f>_xlfn.XLOOKUP(Table3[[#This Row],[Location ]],Table1[Location],Table1[Oracle Location],0,0)</f>
        <v>MONKITS</v>
      </c>
      <c r="F1013" s="3" t="str">
        <f>_xlfn.XLOOKUP(Table3[[#This Row],[Location ]], Table1[Location],Table1[SVG Location],0,0)</f>
        <v>Kits</v>
      </c>
      <c r="G1013" s="3" t="s">
        <v>1616</v>
      </c>
    </row>
    <row r="1014" spans="1:7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tr">
        <f>_xlfn.XLOOKUP(Table3[[#This Row],[Location ]],Table1[Location],Table1[Oracle Location],0,0)</f>
        <v>MONCOILS</v>
      </c>
      <c r="F1014" s="3" t="str">
        <f>_xlfn.XLOOKUP(Table3[[#This Row],[Location ]], Table1[Location],Table1[SVG Location],0,0)</f>
        <v>Coils_Shop</v>
      </c>
      <c r="G1014" s="3" t="s">
        <v>1615</v>
      </c>
    </row>
    <row r="1015" spans="1:7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tr">
        <f>_xlfn.XLOOKUP(Table3[[#This Row],[Location ]],Table1[Location],Table1[Oracle Location],0,0)</f>
        <v>MONDP</v>
      </c>
      <c r="F1015" s="3" t="str">
        <f>_xlfn.XLOOKUP(Table3[[#This Row],[Location ]], Table1[Location],Table1[SVG Location],0,0)</f>
        <v>DH_400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tr">
        <f>_xlfn.XLOOKUP(Table3[[#This Row],[Location ]],Table1[Location],Table1[Oracle Location],0,0)</f>
        <v>MONMC</v>
      </c>
      <c r="F1016" s="3" t="str">
        <f>_xlfn.XLOOKUP(Table3[[#This Row],[Location ]], Table1[Location],Table1[SVG Location],0,0)</f>
        <v>MC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tr">
        <f>_xlfn.XLOOKUP(Table3[[#This Row],[Location ]],Table1[Location],Table1[Oracle Location],0,0)</f>
        <v>MONDA</v>
      </c>
      <c r="F1017" s="3" t="str">
        <f>_xlfn.XLOOKUP(Table3[[#This Row],[Location ]], Table1[Location],Table1[SVG Location],0,0)</f>
        <v>MONDA</v>
      </c>
      <c r="G1017" s="3" t="s">
        <v>1616</v>
      </c>
    </row>
    <row r="1018" spans="1:7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tr">
        <f>_xlfn.XLOOKUP(Table3[[#This Row],[Location ]],Table1[Location],Table1[Oracle Location],0,0)</f>
        <v>MONDP</v>
      </c>
      <c r="F1018" s="3" t="str">
        <f>_xlfn.XLOOKUP(Table3[[#This Row],[Location ]], Table1[Location],Table1[SVG Location],0,0)</f>
        <v>DH_400</v>
      </c>
      <c r="G1018" s="3" t="s">
        <v>1615</v>
      </c>
    </row>
    <row r="1019" spans="1:7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tr">
        <f>_xlfn.XLOOKUP(Table3[[#This Row],[Location ]],Table1[Location],Table1[Oracle Location],0,0)</f>
        <v>MONBLW</v>
      </c>
      <c r="F1019" s="3" t="str">
        <f>_xlfn.XLOOKUP(Table3[[#This Row],[Location ]], Table1[Location],Table1[SVG Location],0,0)</f>
        <v>Blower</v>
      </c>
      <c r="G1019" s="3" t="s">
        <v>1617</v>
      </c>
    </row>
    <row r="1020" spans="1:7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tr">
        <f>_xlfn.XLOOKUP(Table3[[#This Row],[Location ]],Table1[Location],Table1[Oracle Location],0,0)</f>
        <v>MONPRE</v>
      </c>
      <c r="F1020" s="3" t="str">
        <f>_xlfn.XLOOKUP(Table3[[#This Row],[Location ]], Table1[Location],Table1[SVG Location],0,0)</f>
        <v>PRE_L1</v>
      </c>
      <c r="G1020" s="3" t="s">
        <v>1617</v>
      </c>
    </row>
    <row r="1021" spans="1:7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tr">
        <f>_xlfn.XLOOKUP(Table3[[#This Row],[Location ]],Table1[Location],Table1[Oracle Location],0,0)</f>
        <v>MONDP</v>
      </c>
      <c r="F1021" s="3" t="str">
        <f>_xlfn.XLOOKUP(Table3[[#This Row],[Location ]], Table1[Location],Table1[SVG Location],0,0)</f>
        <v>DH_400</v>
      </c>
      <c r="G1021" s="3" t="s">
        <v>1613</v>
      </c>
    </row>
    <row r="1022" spans="1:7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tr">
        <f>_xlfn.XLOOKUP(Table3[[#This Row],[Location ]],Table1[Location],Table1[Oracle Location],0,0)</f>
        <v>MONSKID</v>
      </c>
      <c r="F1022" s="3" t="str">
        <f>_xlfn.XLOOKUP(Table3[[#This Row],[Location ]], Table1[Location],Table1[SVG Location],0,0)</f>
        <v>SKID</v>
      </c>
      <c r="G1022" s="3" t="s">
        <v>1615</v>
      </c>
    </row>
    <row r="1023" spans="1:7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tr">
        <f>_xlfn.XLOOKUP(Table3[[#This Row],[Location ]],Table1[Location],Table1[Oracle Location],0,0)</f>
        <v>MONCOILS</v>
      </c>
      <c r="F1023" s="3" t="str">
        <f>_xlfn.XLOOKUP(Table3[[#This Row],[Location ]], Table1[Location],Table1[SVG Location],0,0)</f>
        <v>Coils_Shop</v>
      </c>
      <c r="G1023" s="3" t="s">
        <v>1613</v>
      </c>
    </row>
    <row r="1024" spans="1:7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tr">
        <f>_xlfn.XLOOKUP(Table3[[#This Row],[Location ]],Table1[Location],Table1[Oracle Location],0,0)</f>
        <v>MONDA</v>
      </c>
      <c r="F1024" s="3" t="str">
        <f>_xlfn.XLOOKUP(Table3[[#This Row],[Location ]], Table1[Location],Table1[SVG Location],0,0)</f>
        <v>MONDA</v>
      </c>
      <c r="G1024" s="3" t="s">
        <v>1617</v>
      </c>
    </row>
    <row r="1025" spans="1:7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tr">
        <f>_xlfn.XLOOKUP(Table3[[#This Row],[Location ]],Table1[Location],Table1[Oracle Location],0,0)</f>
        <v>MONMC</v>
      </c>
      <c r="F1025" s="3" t="str">
        <f>_xlfn.XLOOKUP(Table3[[#This Row],[Location ]], Table1[Location],Table1[SVG Location],0,0)</f>
        <v>MC</v>
      </c>
      <c r="G1025" s="3" t="s">
        <v>1615</v>
      </c>
    </row>
    <row r="1026" spans="1:7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tr">
        <f>_xlfn.XLOOKUP(Table3[[#This Row],[Location ]],Table1[Location],Table1[Oracle Location],0,0)</f>
        <v>MTY 1, MTY1</v>
      </c>
      <c r="F1026" s="3" t="str">
        <f>_xlfn.XLOOKUP(Table3[[#This Row],[Location ]], Table1[Location],Table1[SVG Location],0,0)</f>
        <v>Warehouse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f>_xlfn.XLOOKUP(Table3[[#This Row],[Location ]],Table1[Location],Table1[Oracle Location],0,0)</f>
        <v>0</v>
      </c>
      <c r="F1027" s="3">
        <f>_xlfn.XLOOKUP(Table3[[#This Row],[Location ]], Table1[Location],Table1[SVG Location],0,0)</f>
        <v>0</v>
      </c>
      <c r="G1027" s="3" t="s">
        <v>1614</v>
      </c>
    </row>
    <row r="1028" spans="1:7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tr">
        <f>_xlfn.XLOOKUP(Table3[[#This Row],[Location ]],Table1[Location],Table1[Oracle Location],0,0)</f>
        <v>MONBLW</v>
      </c>
      <c r="F1028" s="3" t="str">
        <f>_xlfn.XLOOKUP(Table3[[#This Row],[Location ]], Table1[Location],Table1[SVG Location],0,0)</f>
        <v>Blower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tr">
        <f>_xlfn.XLOOKUP(Table3[[#This Row],[Location ]],Table1[Location],Table1[Oracle Location],0,0)</f>
        <v>MON-AFC</v>
      </c>
      <c r="F1029" s="3" t="str">
        <f>_xlfn.XLOOKUP(Table3[[#This Row],[Location ]], Table1[Location],Table1[SVG Location],0,0)</f>
        <v>AFC</v>
      </c>
      <c r="G1029" s="3" t="s">
        <v>1614</v>
      </c>
    </row>
    <row r="1030" spans="1:7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tr">
        <f>_xlfn.XLOOKUP(Table3[[#This Row],[Location ]],Table1[Location],Table1[Oracle Location],0,0)</f>
        <v>MTY 1, MTY1</v>
      </c>
      <c r="F1030" s="3" t="str">
        <f>_xlfn.XLOOKUP(Table3[[#This Row],[Location ]], Table1[Location],Table1[SVG Location],0,0)</f>
        <v>Warehouse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tr">
        <f>_xlfn.XLOOKUP(Table3[[#This Row],[Location ]],Table1[Location],Table1[Oracle Location],0,0)</f>
        <v>MONDP</v>
      </c>
      <c r="F1031" s="3" t="str">
        <f>_xlfn.XLOOKUP(Table3[[#This Row],[Location ]], Table1[Location],Table1[SVG Location],0,0)</f>
        <v>DH_400</v>
      </c>
      <c r="G1031" s="3" t="s">
        <v>1616</v>
      </c>
    </row>
    <row r="1032" spans="1:7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tr">
        <f>_xlfn.XLOOKUP(Table3[[#This Row],[Location ]],Table1[Location],Table1[Oracle Location],0,0)</f>
        <v>MONDP</v>
      </c>
      <c r="F1032" s="3" t="str">
        <f>_xlfn.XLOOKUP(Table3[[#This Row],[Location ]], Table1[Location],Table1[SVG Location],0,0)</f>
        <v>DH_400</v>
      </c>
      <c r="G1032" s="3" t="s">
        <v>1615</v>
      </c>
    </row>
    <row r="1033" spans="1:7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tr">
        <f>_xlfn.XLOOKUP(Table3[[#This Row],[Location ]],Table1[Location],Table1[Oracle Location],0,0)</f>
        <v>MONDP</v>
      </c>
      <c r="F1033" s="3" t="str">
        <f>_xlfn.XLOOKUP(Table3[[#This Row],[Location ]], Table1[Location],Table1[SVG Location],0,0)</f>
        <v>DH_400</v>
      </c>
      <c r="G1033" s="3" t="s">
        <v>1615</v>
      </c>
    </row>
    <row r="1034" spans="1:7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tr">
        <f>_xlfn.XLOOKUP(Table3[[#This Row],[Location ]],Table1[Location],Table1[Oracle Location],0,0)</f>
        <v>MONXDU</v>
      </c>
      <c r="F1034" s="3" t="str">
        <f>_xlfn.XLOOKUP(Table3[[#This Row],[Location ]], Table1[Location],Table1[SVG Location],0,0)</f>
        <v>XDU_1350</v>
      </c>
      <c r="G1034" s="3" t="s">
        <v>1613</v>
      </c>
    </row>
    <row r="1035" spans="1:7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tr">
        <f>_xlfn.XLOOKUP(Table3[[#This Row],[Location ]],Table1[Location],Table1[Oracle Location],0,0)</f>
        <v>MONPIPING</v>
      </c>
      <c r="F1035" s="3" t="str">
        <f>_xlfn.XLOOKUP(Table3[[#This Row],[Location ]], Table1[Location],Table1[SVG Location],0,0)</f>
        <v>Piping</v>
      </c>
      <c r="G1035" s="3" t="s">
        <v>1617</v>
      </c>
    </row>
    <row r="1036" spans="1:7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tr">
        <f>_xlfn.XLOOKUP(Table3[[#This Row],[Location ]],Table1[Location],Table1[Oracle Location],0,0)</f>
        <v>MONXDU100</v>
      </c>
      <c r="F1036" s="3" t="str">
        <f>_xlfn.XLOOKUP(Table3[[#This Row],[Location ]], Table1[Location],Table1[SVG Location],0,0)</f>
        <v>XDU_100</v>
      </c>
      <c r="G1036" s="3" t="s">
        <v>1617</v>
      </c>
    </row>
    <row r="1037" spans="1:7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tr">
        <f>_xlfn.XLOOKUP(Table3[[#This Row],[Location ]],Table1[Location],Table1[Oracle Location],0,0)</f>
        <v>MONPRE</v>
      </c>
      <c r="F1037" s="3" t="str">
        <f>_xlfn.XLOOKUP(Table3[[#This Row],[Location ]], Table1[Location],Table1[SVG Location],0,0)</f>
        <v>PRE_L1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tr">
        <f>_xlfn.XLOOKUP(Table3[[#This Row],[Location ]],Table1[Location],Table1[Oracle Location],0,0)</f>
        <v>ALL</v>
      </c>
      <c r="F1038" s="3" t="str">
        <f>_xlfn.XLOOKUP(Table3[[#This Row],[Location ]], Table1[Location],Table1[SVG Location],0,0)</f>
        <v>ALL</v>
      </c>
      <c r="G1038" s="3">
        <v>0</v>
      </c>
    </row>
    <row r="1039" spans="1:7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tr">
        <f>_xlfn.XLOOKUP(Table3[[#This Row],[Location ]],Table1[Location],Table1[Oracle Location],0,0)</f>
        <v>MONCR</v>
      </c>
      <c r="F1039" s="3" t="str">
        <f>_xlfn.XLOOKUP(Table3[[#This Row],[Location ]], Table1[Location],Table1[SVG Location],0,0)</f>
        <v>CR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tr">
        <f>_xlfn.XLOOKUP(Table3[[#This Row],[Location ]],Table1[Location],Table1[Oracle Location],0,0)</f>
        <v>ALL</v>
      </c>
      <c r="F1040" s="3" t="str">
        <f>_xlfn.XLOOKUP(Table3[[#This Row],[Location ]], Table1[Location],Table1[SVG Location],0,0)</f>
        <v>ALL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tr">
        <f>_xlfn.XLOOKUP(Table3[[#This Row],[Location ]],Table1[Location],Table1[Oracle Location],0,0)</f>
        <v>MTY3</v>
      </c>
      <c r="F1041" s="3" t="str">
        <f>_xlfn.XLOOKUP(Table3[[#This Row],[Location ]], Table1[Location],Table1[SVG Location],0,0)</f>
        <v>MTY3</v>
      </c>
      <c r="G1041" s="3">
        <v>0</v>
      </c>
    </row>
    <row r="1042" spans="1:7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tr">
        <f>_xlfn.XLOOKUP(Table3[[#This Row],[Location ]],Table1[Location],Table1[Oracle Location],0,0)</f>
        <v>MONXDU</v>
      </c>
      <c r="F1042" s="3" t="str">
        <f>_xlfn.XLOOKUP(Table3[[#This Row],[Location ]], Table1[Location],Table1[SVG Location],0,0)</f>
        <v>XDU_1350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tr">
        <f>_xlfn.XLOOKUP(Table3[[#This Row],[Location ]],Table1[Location],Table1[Oracle Location],0,0)</f>
        <v>MONDP</v>
      </c>
      <c r="F1043" s="3" t="str">
        <f>_xlfn.XLOOKUP(Table3[[#This Row],[Location ]], Table1[Location],Table1[SVG Location],0,0)</f>
        <v>DH_400</v>
      </c>
      <c r="G1043" s="3" t="s">
        <v>1616</v>
      </c>
    </row>
    <row r="1044" spans="1:7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tr">
        <f>_xlfn.XLOOKUP(Table3[[#This Row],[Location ]],Table1[Location],Table1[Oracle Location],0,0)</f>
        <v>MTY 1, MTY1</v>
      </c>
      <c r="F1044" s="3" t="str">
        <f>_xlfn.XLOOKUP(Table3[[#This Row],[Location ]], Table1[Location],Table1[SVG Location],0,0)</f>
        <v>Warehouse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tr">
        <f>_xlfn.XLOOKUP(Table3[[#This Row],[Location ]],Table1[Location],Table1[Oracle Location],0,0)</f>
        <v>MONXDM</v>
      </c>
      <c r="F1045" s="3" t="str">
        <f>_xlfn.XLOOKUP(Table3[[#This Row],[Location ]], Table1[Location],Table1[SVG Location],0,0)</f>
        <v>XDM</v>
      </c>
      <c r="G1045" s="3" t="s">
        <v>1616</v>
      </c>
    </row>
    <row r="1046" spans="1:7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tr">
        <f>_xlfn.XLOOKUP(Table3[[#This Row],[Location ]],Table1[Location],Table1[Oracle Location],0,0)</f>
        <v>MONBLW</v>
      </c>
      <c r="F1046" s="3" t="str">
        <f>_xlfn.XLOOKUP(Table3[[#This Row],[Location ]], Table1[Location],Table1[SVG Location],0,0)</f>
        <v>Blower</v>
      </c>
      <c r="G1046" s="3" t="s">
        <v>1617</v>
      </c>
    </row>
    <row r="1047" spans="1:7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tr">
        <f>_xlfn.XLOOKUP(Table3[[#This Row],[Location ]],Table1[Location],Table1[Oracle Location],0,0)</f>
        <v>MONPIPING</v>
      </c>
      <c r="F1047" s="3" t="str">
        <f>_xlfn.XLOOKUP(Table3[[#This Row],[Location ]], Table1[Location],Table1[SVG Location],0,0)</f>
        <v>Piping</v>
      </c>
      <c r="G1047" s="3" t="s">
        <v>1617</v>
      </c>
    </row>
    <row r="1048" spans="1:7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tr">
        <f>_xlfn.XLOOKUP(Table3[[#This Row],[Location ]],Table1[Location],Table1[Oracle Location],0,0)</f>
        <v>MONDA</v>
      </c>
      <c r="F1048" s="3" t="str">
        <f>_xlfn.XLOOKUP(Table3[[#This Row],[Location ]], Table1[Location],Table1[SVG Location],0,0)</f>
        <v>MONDA</v>
      </c>
      <c r="G1048" s="3" t="s">
        <v>1615</v>
      </c>
    </row>
    <row r="1049" spans="1:7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tr">
        <f>_xlfn.XLOOKUP(Table3[[#This Row],[Location ]],Table1[Location],Table1[Oracle Location],0,0)</f>
        <v>MONXDU100</v>
      </c>
      <c r="F1049" s="3" t="str">
        <f>_xlfn.XLOOKUP(Table3[[#This Row],[Location ]], Table1[Location],Table1[SVG Location],0,0)</f>
        <v>XDU_100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tr">
        <f>_xlfn.XLOOKUP(Table3[[#This Row],[Location ]],Table1[Location],Table1[Oracle Location],0,0)</f>
        <v>MTY 1, MTY1</v>
      </c>
      <c r="F1050" s="3" t="str">
        <f>_xlfn.XLOOKUP(Table3[[#This Row],[Location ]], Table1[Location],Table1[SVG Location],0,0)</f>
        <v>Warehouse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tr">
        <f>_xlfn.XLOOKUP(Table3[[#This Row],[Location ]],Table1[Location],Table1[Oracle Location],0,0)</f>
        <v>ALL</v>
      </c>
      <c r="F1051" s="3" t="str">
        <f>_xlfn.XLOOKUP(Table3[[#This Row],[Location ]], Table1[Location],Table1[SVG Location],0,0)</f>
        <v>ALL</v>
      </c>
      <c r="G1051" s="3">
        <v>0</v>
      </c>
    </row>
    <row r="1052" spans="1:7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tr">
        <f>_xlfn.XLOOKUP(Table3[[#This Row],[Location ]],Table1[Location],Table1[Oracle Location],0,0)</f>
        <v>MONEP</v>
      </c>
      <c r="F1052" s="3" t="str">
        <f>_xlfn.XLOOKUP(Table3[[#This Row],[Location ]], Table1[Location],Table1[SVG Location],0,0)</f>
        <v>EP</v>
      </c>
      <c r="G1052" s="3" t="s">
        <v>1617</v>
      </c>
    </row>
    <row r="1053" spans="1:7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tr">
        <f>_xlfn.XLOOKUP(Table3[[#This Row],[Location ]],Table1[Location],Table1[Oracle Location],0,0)</f>
        <v>MTY 1, MTY1</v>
      </c>
      <c r="F1053" s="3" t="str">
        <f>_xlfn.XLOOKUP(Table3[[#This Row],[Location ]], Table1[Location],Table1[SVG Location],0,0)</f>
        <v>Warehouse</v>
      </c>
      <c r="G1053" s="3" t="s">
        <v>1617</v>
      </c>
    </row>
    <row r="1054" spans="1:7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tr">
        <f>_xlfn.XLOOKUP(Table3[[#This Row],[Location ]],Table1[Location],Table1[Oracle Location],0,0)</f>
        <v>MONXDU</v>
      </c>
      <c r="F1054" s="3" t="str">
        <f>_xlfn.XLOOKUP(Table3[[#This Row],[Location ]], Table1[Location],Table1[SVG Location],0,0)</f>
        <v>XDU_1350</v>
      </c>
      <c r="G1054" s="3" t="s">
        <v>1617</v>
      </c>
    </row>
    <row r="1055" spans="1:7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tr">
        <f>_xlfn.XLOOKUP(Table3[[#This Row],[Location ]],Table1[Location],Table1[Oracle Location],0,0)</f>
        <v>MONDP</v>
      </c>
      <c r="F1055" s="3" t="str">
        <f>_xlfn.XLOOKUP(Table3[[#This Row],[Location ]], Table1[Location],Table1[SVG Location],0,0)</f>
        <v>DH_400</v>
      </c>
      <c r="G1055" s="3" t="s">
        <v>1613</v>
      </c>
    </row>
    <row r="1056" spans="1:7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tr">
        <f>_xlfn.XLOOKUP(Table3[[#This Row],[Location ]],Table1[Location],Table1[Oracle Location],0,0)</f>
        <v>MONDP</v>
      </c>
      <c r="F1056" s="3" t="str">
        <f>_xlfn.XLOOKUP(Table3[[#This Row],[Location ]], Table1[Location],Table1[SVG Location],0,0)</f>
        <v>DH_400</v>
      </c>
      <c r="G1056" s="3" t="s">
        <v>1617</v>
      </c>
    </row>
    <row r="1057" spans="1:7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tr">
        <f>_xlfn.XLOOKUP(Table3[[#This Row],[Location ]],Table1[Location],Table1[Oracle Location],0,0)</f>
        <v>MONDA</v>
      </c>
      <c r="F1057" s="3" t="str">
        <f>_xlfn.XLOOKUP(Table3[[#This Row],[Location ]], Table1[Location],Table1[SVG Location],0,0)</f>
        <v>MONDA</v>
      </c>
      <c r="G1057" s="3" t="s">
        <v>1615</v>
      </c>
    </row>
    <row r="1058" spans="1:7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tr">
        <f>_xlfn.XLOOKUP(Table3[[#This Row],[Location ]],Table1[Location],Table1[Oracle Location],0,0)</f>
        <v>MONXDU</v>
      </c>
      <c r="F1058" s="3" t="str">
        <f>_xlfn.XLOOKUP(Table3[[#This Row],[Location ]], Table1[Location],Table1[SVG Location],0,0)</f>
        <v>XDU_1350</v>
      </c>
      <c r="G1058" s="3" t="s">
        <v>1617</v>
      </c>
    </row>
    <row r="1059" spans="1:7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tr">
        <f>_xlfn.XLOOKUP(Table3[[#This Row],[Location ]],Table1[Location],Table1[Oracle Location],0,0)</f>
        <v>MONCOILS</v>
      </c>
      <c r="F1059" s="3" t="str">
        <f>_xlfn.XLOOKUP(Table3[[#This Row],[Location ]], Table1[Location],Table1[SVG Location],0,0)</f>
        <v>Coils_Shop</v>
      </c>
      <c r="G1059" s="3" t="s">
        <v>1613</v>
      </c>
    </row>
    <row r="1060" spans="1:7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tr">
        <f>_xlfn.XLOOKUP(Table3[[#This Row],[Location ]],Table1[Location],Table1[Oracle Location],0,0)</f>
        <v>MONDP</v>
      </c>
      <c r="F1060" s="3" t="str">
        <f>_xlfn.XLOOKUP(Table3[[#This Row],[Location ]], Table1[Location],Table1[SVG Location],0,0)</f>
        <v>DH_400</v>
      </c>
      <c r="G1060" s="3" t="s">
        <v>1613</v>
      </c>
    </row>
    <row r="1061" spans="1:7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tr">
        <f>_xlfn.XLOOKUP(Table3[[#This Row],[Location ]],Table1[Location],Table1[Oracle Location],0,0)</f>
        <v>MONDP</v>
      </c>
      <c r="F1061" s="3" t="str">
        <f>_xlfn.XLOOKUP(Table3[[#This Row],[Location ]], Table1[Location],Table1[SVG Location],0,0)</f>
        <v>DH_400</v>
      </c>
      <c r="G1061" s="3" t="s">
        <v>1613</v>
      </c>
    </row>
    <row r="1062" spans="1:7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tr">
        <f>_xlfn.XLOOKUP(Table3[[#This Row],[Location ]],Table1[Location],Table1[Oracle Location],0,0)</f>
        <v>MONMC</v>
      </c>
      <c r="F1062" s="3" t="str">
        <f>_xlfn.XLOOKUP(Table3[[#This Row],[Location ]], Table1[Location],Table1[SVG Location],0,0)</f>
        <v>MC</v>
      </c>
      <c r="G1062" s="3" t="s">
        <v>1615</v>
      </c>
    </row>
    <row r="1063" spans="1:7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tr">
        <f>_xlfn.XLOOKUP(Table3[[#This Row],[Location ]],Table1[Location],Table1[Oracle Location],0,0)</f>
        <v>MONDP</v>
      </c>
      <c r="F1063" s="3" t="str">
        <f>_xlfn.XLOOKUP(Table3[[#This Row],[Location ]], Table1[Location],Table1[SVG Location],0,0)</f>
        <v>DH_400</v>
      </c>
      <c r="G1063" s="3" t="s">
        <v>1617</v>
      </c>
    </row>
    <row r="1064" spans="1:7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tr">
        <f>_xlfn.XLOOKUP(Table3[[#This Row],[Location ]],Table1[Location],Table1[Oracle Location],0,0)</f>
        <v>MTY 1, MTY1</v>
      </c>
      <c r="F1064" s="3" t="str">
        <f>_xlfn.XLOOKUP(Table3[[#This Row],[Location ]], Table1[Location],Table1[SVG Location],0,0)</f>
        <v>Warehouse</v>
      </c>
      <c r="G1064" s="3" t="s">
        <v>1617</v>
      </c>
    </row>
    <row r="1065" spans="1:7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tr">
        <f>_xlfn.XLOOKUP(Table3[[#This Row],[Location ]],Table1[Location],Table1[Oracle Location],0,0)</f>
        <v>MONMC</v>
      </c>
      <c r="F1065" s="3" t="str">
        <f>_xlfn.XLOOKUP(Table3[[#This Row],[Location ]], Table1[Location],Table1[SVG Location],0,0)</f>
        <v>MC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tr">
        <f>_xlfn.XLOOKUP(Table3[[#This Row],[Location ]],Table1[Location],Table1[Oracle Location],0,0)</f>
        <v>MONCOILS</v>
      </c>
      <c r="F1066" s="3" t="str">
        <f>_xlfn.XLOOKUP(Table3[[#This Row],[Location ]], Table1[Location],Table1[SVG Location],0,0)</f>
        <v>Coils_Shop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tr">
        <f>_xlfn.XLOOKUP(Table3[[#This Row],[Location ]],Table1[Location],Table1[Oracle Location],0,0)</f>
        <v>MONDP</v>
      </c>
      <c r="F1067" s="3" t="str">
        <f>_xlfn.XLOOKUP(Table3[[#This Row],[Location ]], Table1[Location],Table1[SVG Location],0,0)</f>
        <v>DH_400</v>
      </c>
      <c r="G1067" s="3" t="s">
        <v>1614</v>
      </c>
    </row>
    <row r="1068" spans="1:7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tr">
        <f>_xlfn.XLOOKUP(Table3[[#This Row],[Location ]],Table1[Location],Table1[Oracle Location],0,0)</f>
        <v>MONMC</v>
      </c>
      <c r="F1068" s="3" t="str">
        <f>_xlfn.XLOOKUP(Table3[[#This Row],[Location ]], Table1[Location],Table1[SVG Location],0,0)</f>
        <v>MC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tr">
        <f>_xlfn.XLOOKUP(Table3[[#This Row],[Location ]],Table1[Location],Table1[Oracle Location],0,0)</f>
        <v>ALL</v>
      </c>
      <c r="F1069" s="3" t="str">
        <f>_xlfn.XLOOKUP(Table3[[#This Row],[Location ]], Table1[Location],Table1[SVG Location],0,0)</f>
        <v>ALL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tr">
        <f>_xlfn.XLOOKUP(Table3[[#This Row],[Location ]],Table1[Location],Table1[Oracle Location],0,0)</f>
        <v>MONXDU100</v>
      </c>
      <c r="F1070" s="3" t="str">
        <f>_xlfn.XLOOKUP(Table3[[#This Row],[Location ]], Table1[Location],Table1[SVG Location],0,0)</f>
        <v>XDU_100</v>
      </c>
      <c r="G1070" s="3" t="s">
        <v>1616</v>
      </c>
    </row>
    <row r="1071" spans="1:7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tr">
        <f>_xlfn.XLOOKUP(Table3[[#This Row],[Location ]],Table1[Location],Table1[Oracle Location],0,0)</f>
        <v>MONXDU</v>
      </c>
      <c r="F1071" s="3" t="str">
        <f>_xlfn.XLOOKUP(Table3[[#This Row],[Location ]], Table1[Location],Table1[SVG Location],0,0)</f>
        <v>XDU_1350</v>
      </c>
      <c r="G1071" s="3" t="s">
        <v>1617</v>
      </c>
    </row>
    <row r="1072" spans="1:7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tr">
        <f>_xlfn.XLOOKUP(Table3[[#This Row],[Location ]],Table1[Location],Table1[Oracle Location],0,0)</f>
        <v>MONCOILS</v>
      </c>
      <c r="F1072" s="3" t="str">
        <f>_xlfn.XLOOKUP(Table3[[#This Row],[Location ]], Table1[Location],Table1[SVG Location],0,0)</f>
        <v>Coils_Shop</v>
      </c>
      <c r="G1072" s="3" t="s">
        <v>1613</v>
      </c>
    </row>
    <row r="1073" spans="1:7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tr">
        <f>_xlfn.XLOOKUP(Table3[[#This Row],[Location ]],Table1[Location],Table1[Oracle Location],0,0)</f>
        <v>MONDA</v>
      </c>
      <c r="F1073" s="3" t="str">
        <f>_xlfn.XLOOKUP(Table3[[#This Row],[Location ]], Table1[Location],Table1[SVG Location],0,0)</f>
        <v>MONDA</v>
      </c>
      <c r="G1073" s="3" t="s">
        <v>1615</v>
      </c>
    </row>
    <row r="1074" spans="1:7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tr">
        <f>_xlfn.XLOOKUP(Table3[[#This Row],[Location ]],Table1[Location],Table1[Oracle Location],0,0)</f>
        <v>MONDP</v>
      </c>
      <c r="F1074" s="3" t="str">
        <f>_xlfn.XLOOKUP(Table3[[#This Row],[Location ]], Table1[Location],Table1[SVG Location],0,0)</f>
        <v>DH_400</v>
      </c>
      <c r="G1074" s="3" t="s">
        <v>1615</v>
      </c>
    </row>
    <row r="1075" spans="1:7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tr">
        <f>_xlfn.XLOOKUP(Table3[[#This Row],[Location ]],Table1[Location],Table1[Oracle Location],0,0)</f>
        <v>MONDP</v>
      </c>
      <c r="F1075" s="3" t="str">
        <f>_xlfn.XLOOKUP(Table3[[#This Row],[Location ]], Table1[Location],Table1[SVG Location],0,0)</f>
        <v>DH_400</v>
      </c>
      <c r="G1075" s="3" t="s">
        <v>1615</v>
      </c>
    </row>
    <row r="1076" spans="1:7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tr">
        <f>_xlfn.XLOOKUP(Table3[[#This Row],[Location ]],Table1[Location],Table1[Oracle Location],0,0)</f>
        <v>MONXDU</v>
      </c>
      <c r="F1076" s="3" t="str">
        <f>_xlfn.XLOOKUP(Table3[[#This Row],[Location ]], Table1[Location],Table1[SVG Location],0,0)</f>
        <v>XDU_1350</v>
      </c>
      <c r="G1076" s="3" t="s">
        <v>1615</v>
      </c>
    </row>
    <row r="1077" spans="1:7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tr">
        <f>_xlfn.XLOOKUP(Table3[[#This Row],[Location ]],Table1[Location],Table1[Oracle Location],0,0)</f>
        <v>MONXDU</v>
      </c>
      <c r="F1077" s="3" t="str">
        <f>_xlfn.XLOOKUP(Table3[[#This Row],[Location ]], Table1[Location],Table1[SVG Location],0,0)</f>
        <v>XDU_1350</v>
      </c>
      <c r="G1077" s="3" t="s">
        <v>1615</v>
      </c>
    </row>
    <row r="1078" spans="1:7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tr">
        <f>_xlfn.XLOOKUP(Table3[[#This Row],[Location ]],Table1[Location],Table1[Oracle Location],0,0)</f>
        <v>MONEP</v>
      </c>
      <c r="F1078" s="3" t="str">
        <f>_xlfn.XLOOKUP(Table3[[#This Row],[Location ]], Table1[Location],Table1[SVG Location],0,0)</f>
        <v>EP</v>
      </c>
      <c r="G1078" s="3" t="s">
        <v>1617</v>
      </c>
    </row>
    <row r="1079" spans="1:7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tr">
        <f>_xlfn.XLOOKUP(Table3[[#This Row],[Location ]],Table1[Location],Table1[Oracle Location],0,0)</f>
        <v>MONDP</v>
      </c>
      <c r="F1079" s="3" t="str">
        <f>_xlfn.XLOOKUP(Table3[[#This Row],[Location ]], Table1[Location],Table1[SVG Location],0,0)</f>
        <v>DH_400</v>
      </c>
      <c r="G1079" s="3" t="s">
        <v>1613</v>
      </c>
    </row>
    <row r="1080" spans="1:7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tr">
        <f>_xlfn.XLOOKUP(Table3[[#This Row],[Location ]],Table1[Location],Table1[Oracle Location],0,0)</f>
        <v>MONDP</v>
      </c>
      <c r="F1080" s="3" t="str">
        <f>_xlfn.XLOOKUP(Table3[[#This Row],[Location ]], Table1[Location],Table1[SVG Location],0,0)</f>
        <v>DH_400</v>
      </c>
      <c r="G1080" s="3" t="s">
        <v>1615</v>
      </c>
    </row>
    <row r="1081" spans="1:7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tr">
        <f>_xlfn.XLOOKUP(Table3[[#This Row],[Location ]],Table1[Location],Table1[Oracle Location],0,0)</f>
        <v>MONXDM</v>
      </c>
      <c r="F1081" s="3" t="str">
        <f>_xlfn.XLOOKUP(Table3[[#This Row],[Location ]], Table1[Location],Table1[SVG Location],0,0)</f>
        <v>XDM</v>
      </c>
      <c r="G1081" s="3" t="s">
        <v>1613</v>
      </c>
    </row>
    <row r="1082" spans="1:7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tr">
        <f>_xlfn.XLOOKUP(Table3[[#This Row],[Location ]],Table1[Location],Table1[Oracle Location],0,0)</f>
        <v>MONDP</v>
      </c>
      <c r="F1082" s="3" t="str">
        <f>_xlfn.XLOOKUP(Table3[[#This Row],[Location ]], Table1[Location],Table1[SVG Location],0,0)</f>
        <v>DH_400</v>
      </c>
      <c r="G1082" s="3" t="s">
        <v>1617</v>
      </c>
    </row>
    <row r="1083" spans="1:7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tr">
        <f>_xlfn.XLOOKUP(Table3[[#This Row],[Location ]],Table1[Location],Table1[Oracle Location],0,0)</f>
        <v>MONEP</v>
      </c>
      <c r="F1083" s="3" t="str">
        <f>_xlfn.XLOOKUP(Table3[[#This Row],[Location ]], Table1[Location],Table1[SVG Location],0,0)</f>
        <v>EP</v>
      </c>
      <c r="G1083" s="3" t="s">
        <v>1613</v>
      </c>
    </row>
    <row r="1084" spans="1:7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tr">
        <f>_xlfn.XLOOKUP(Table3[[#This Row],[Location ]],Table1[Location],Table1[Oracle Location],0,0)</f>
        <v>MONDP</v>
      </c>
      <c r="F1084" s="3" t="str">
        <f>_xlfn.XLOOKUP(Table3[[#This Row],[Location ]], Table1[Location],Table1[SVG Location],0,0)</f>
        <v>DH_400</v>
      </c>
      <c r="G1084" s="3" t="s">
        <v>1615</v>
      </c>
    </row>
    <row r="1085" spans="1:7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tr">
        <f>_xlfn.XLOOKUP(Table3[[#This Row],[Location ]],Table1[Location],Table1[Oracle Location],0,0)</f>
        <v>MONDP</v>
      </c>
      <c r="F1085" s="3" t="str">
        <f>_xlfn.XLOOKUP(Table3[[#This Row],[Location ]], Table1[Location],Table1[SVG Location],0,0)</f>
        <v>DH_400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tr">
        <f>_xlfn.XLOOKUP(Table3[[#This Row],[Location ]],Table1[Location],Table1[Oracle Location],0,0)</f>
        <v>MONXDM</v>
      </c>
      <c r="F1086" s="3" t="str">
        <f>_xlfn.XLOOKUP(Table3[[#This Row],[Location ]], Table1[Location],Table1[SVG Location],0,0)</f>
        <v>XDM</v>
      </c>
      <c r="G1086" s="3" t="s">
        <v>1616</v>
      </c>
    </row>
    <row r="1087" spans="1:7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tr">
        <f>_xlfn.XLOOKUP(Table3[[#This Row],[Location ]],Table1[Location],Table1[Oracle Location],0,0)</f>
        <v>MONMC</v>
      </c>
      <c r="F1087" s="3" t="str">
        <f>_xlfn.XLOOKUP(Table3[[#This Row],[Location ]], Table1[Location],Table1[SVG Location],0,0)</f>
        <v>MC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tr">
        <f>_xlfn.XLOOKUP(Table3[[#This Row],[Location ]],Table1[Location],Table1[Oracle Location],0,0)</f>
        <v>MONDP</v>
      </c>
      <c r="F1088" s="3" t="str">
        <f>_xlfn.XLOOKUP(Table3[[#This Row],[Location ]], Table1[Location],Table1[SVG Location],0,0)</f>
        <v>DH_400</v>
      </c>
      <c r="G1088" s="3" t="s">
        <v>1614</v>
      </c>
    </row>
    <row r="1089" spans="1:7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tr">
        <f>_xlfn.XLOOKUP(Table3[[#This Row],[Location ]],Table1[Location],Table1[Oracle Location],0,0)</f>
        <v>MONEP</v>
      </c>
      <c r="F1089" s="3" t="str">
        <f>_xlfn.XLOOKUP(Table3[[#This Row],[Location ]], Table1[Location],Table1[SVG Location],0,0)</f>
        <v>EP</v>
      </c>
      <c r="G1089" s="3" t="s">
        <v>1617</v>
      </c>
    </row>
    <row r="1090" spans="1:7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tr">
        <f>_xlfn.XLOOKUP(Table3[[#This Row],[Location ]],Table1[Location],Table1[Oracle Location],0,0)</f>
        <v>MONEP</v>
      </c>
      <c r="F1090" s="3" t="str">
        <f>_xlfn.XLOOKUP(Table3[[#This Row],[Location ]], Table1[Location],Table1[SVG Location],0,0)</f>
        <v>EP</v>
      </c>
      <c r="G1090" s="3" t="s">
        <v>1615</v>
      </c>
    </row>
    <row r="1091" spans="1:7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tr">
        <f>_xlfn.XLOOKUP(Table3[[#This Row],[Location ]],Table1[Location],Table1[Oracle Location],0,0)</f>
        <v>MONMC</v>
      </c>
      <c r="F1091" s="3" t="str">
        <f>_xlfn.XLOOKUP(Table3[[#This Row],[Location ]], Table1[Location],Table1[SVG Location],0,0)</f>
        <v>MC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tr">
        <f>_xlfn.XLOOKUP(Table3[[#This Row],[Location ]],Table1[Location],Table1[Oracle Location],0,0)</f>
        <v>MONDP</v>
      </c>
      <c r="F1092" s="3" t="str">
        <f>_xlfn.XLOOKUP(Table3[[#This Row],[Location ]], Table1[Location],Table1[SVG Location],0,0)</f>
        <v>DH_400</v>
      </c>
      <c r="G1092" s="3" t="s">
        <v>1616</v>
      </c>
    </row>
    <row r="1093" spans="1:7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tr">
        <f>_xlfn.XLOOKUP(Table3[[#This Row],[Location ]],Table1[Location],Table1[Oracle Location],0,0)</f>
        <v>MTY 1, MTY1</v>
      </c>
      <c r="F1093" s="3" t="str">
        <f>_xlfn.XLOOKUP(Table3[[#This Row],[Location ]], Table1[Location],Table1[SVG Location],0,0)</f>
        <v>Warehouse</v>
      </c>
      <c r="G1093" s="3" t="s">
        <v>1615</v>
      </c>
    </row>
    <row r="1094" spans="1:7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tr">
        <f>_xlfn.XLOOKUP(Table3[[#This Row],[Location ]],Table1[Location],Table1[Oracle Location],0,0)</f>
        <v>MONDP</v>
      </c>
      <c r="F1094" s="3" t="str">
        <f>_xlfn.XLOOKUP(Table3[[#This Row],[Location ]], Table1[Location],Table1[SVG Location],0,0)</f>
        <v>DH_400</v>
      </c>
      <c r="G1094" s="3" t="s">
        <v>1617</v>
      </c>
    </row>
    <row r="1095" spans="1:7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tr">
        <f>_xlfn.XLOOKUP(Table3[[#This Row],[Location ]],Table1[Location],Table1[Oracle Location],0,0)</f>
        <v>MONCOILS</v>
      </c>
      <c r="F1095" s="3" t="str">
        <f>_xlfn.XLOOKUP(Table3[[#This Row],[Location ]], Table1[Location],Table1[SVG Location],0,0)</f>
        <v>Coils_Shop</v>
      </c>
      <c r="G1095" s="3" t="s">
        <v>1613</v>
      </c>
    </row>
    <row r="1096" spans="1:7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tr">
        <f>_xlfn.XLOOKUP(Table3[[#This Row],[Location ]],Table1[Location],Table1[Oracle Location],0,0)</f>
        <v>MONDP</v>
      </c>
      <c r="F1096" s="3" t="str">
        <f>_xlfn.XLOOKUP(Table3[[#This Row],[Location ]], Table1[Location],Table1[SVG Location],0,0)</f>
        <v>DH_400</v>
      </c>
      <c r="G1096" s="3" t="s">
        <v>1615</v>
      </c>
    </row>
    <row r="1097" spans="1:7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tr">
        <f>_xlfn.XLOOKUP(Table3[[#This Row],[Location ]],Table1[Location],Table1[Oracle Location],0,0)</f>
        <v>MONPIPING</v>
      </c>
      <c r="F1097" s="3" t="str">
        <f>_xlfn.XLOOKUP(Table3[[#This Row],[Location ]], Table1[Location],Table1[SVG Location],0,0)</f>
        <v>Piping</v>
      </c>
      <c r="G1097" s="3" t="s">
        <v>1615</v>
      </c>
    </row>
    <row r="1098" spans="1:7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tr">
        <f>_xlfn.XLOOKUP(Table3[[#This Row],[Location ]],Table1[Location],Table1[Oracle Location],0,0)</f>
        <v>MONEP</v>
      </c>
      <c r="F1098" s="3" t="str">
        <f>_xlfn.XLOOKUP(Table3[[#This Row],[Location ]], Table1[Location],Table1[SVG Location],0,0)</f>
        <v>EP</v>
      </c>
      <c r="G1098" s="3" t="s">
        <v>1615</v>
      </c>
    </row>
    <row r="1099" spans="1:7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tr">
        <f>_xlfn.XLOOKUP(Table3[[#This Row],[Location ]],Table1[Location],Table1[Oracle Location],0,0)</f>
        <v>MONDP</v>
      </c>
      <c r="F1099" s="3" t="str">
        <f>_xlfn.XLOOKUP(Table3[[#This Row],[Location ]], Table1[Location],Table1[SVG Location],0,0)</f>
        <v>DH_400</v>
      </c>
      <c r="G1099" s="3" t="s">
        <v>1615</v>
      </c>
    </row>
    <row r="1100" spans="1:7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tr">
        <f>_xlfn.XLOOKUP(Table3[[#This Row],[Location ]],Table1[Location],Table1[Oracle Location],0,0)</f>
        <v>MONPRE</v>
      </c>
      <c r="F1100" s="3" t="str">
        <f>_xlfn.XLOOKUP(Table3[[#This Row],[Location ]], Table1[Location],Table1[SVG Location],0,0)</f>
        <v>PRE_L1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tr">
        <f>_xlfn.XLOOKUP(Table3[[#This Row],[Location ]],Table1[Location],Table1[Oracle Location],0,0)</f>
        <v>MTY3</v>
      </c>
      <c r="F1101" s="3" t="str">
        <f>_xlfn.XLOOKUP(Table3[[#This Row],[Location ]], Table1[Location],Table1[SVG Location],0,0)</f>
        <v>MTY3</v>
      </c>
      <c r="G1101" s="3" t="s">
        <v>1614</v>
      </c>
    </row>
    <row r="1102" spans="1:7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tr">
        <f>_xlfn.XLOOKUP(Table3[[#This Row],[Location ]],Table1[Location],Table1[Oracle Location],0,0)</f>
        <v>MONDP</v>
      </c>
      <c r="F1102" s="3" t="str">
        <f>_xlfn.XLOOKUP(Table3[[#This Row],[Location ]], Table1[Location],Table1[SVG Location],0,0)</f>
        <v>DH_400</v>
      </c>
      <c r="G1102" s="3" t="s">
        <v>1617</v>
      </c>
    </row>
    <row r="1103" spans="1:7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tr">
        <f>_xlfn.XLOOKUP(Table3[[#This Row],[Location ]],Table1[Location],Table1[Oracle Location],0,0)</f>
        <v>MTY 1, MTY1</v>
      </c>
      <c r="F1103" s="3" t="str">
        <f>_xlfn.XLOOKUP(Table3[[#This Row],[Location ]], Table1[Location],Table1[SVG Location],0,0)</f>
        <v>Warehouse</v>
      </c>
      <c r="G1103" s="3" t="s">
        <v>1615</v>
      </c>
    </row>
    <row r="1104" spans="1:7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tr">
        <f>_xlfn.XLOOKUP(Table3[[#This Row],[Location ]],Table1[Location],Table1[Oracle Location],0,0)</f>
        <v>MONDP</v>
      </c>
      <c r="F1104" s="3" t="str">
        <f>_xlfn.XLOOKUP(Table3[[#This Row],[Location ]], Table1[Location],Table1[SVG Location],0,0)</f>
        <v>DH_400</v>
      </c>
      <c r="G1104" s="3" t="s">
        <v>1613</v>
      </c>
    </row>
    <row r="1105" spans="1:7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tr">
        <f>_xlfn.XLOOKUP(Table3[[#This Row],[Location ]],Table1[Location],Table1[Oracle Location],0,0)</f>
        <v>MONDP</v>
      </c>
      <c r="F1105" s="3" t="str">
        <f>_xlfn.XLOOKUP(Table3[[#This Row],[Location ]], Table1[Location],Table1[SVG Location],0,0)</f>
        <v>DH_400</v>
      </c>
      <c r="G1105" s="3" t="s">
        <v>1613</v>
      </c>
    </row>
    <row r="1106" spans="1:7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tr">
        <f>_xlfn.XLOOKUP(Table3[[#This Row],[Location ]],Table1[Location],Table1[Oracle Location],0,0)</f>
        <v>MONXDU</v>
      </c>
      <c r="F1106" s="3" t="str">
        <f>_xlfn.XLOOKUP(Table3[[#This Row],[Location ]], Table1[Location],Table1[SVG Location],0,0)</f>
        <v>XDU_1350</v>
      </c>
      <c r="G1106" s="3" t="s">
        <v>1617</v>
      </c>
    </row>
    <row r="1107" spans="1:7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tr">
        <f>_xlfn.XLOOKUP(Table3[[#This Row],[Location ]],Table1[Location],Table1[Oracle Location],0,0)</f>
        <v>MONDP</v>
      </c>
      <c r="F1107" s="3" t="str">
        <f>_xlfn.XLOOKUP(Table3[[#This Row],[Location ]], Table1[Location],Table1[SVG Location],0,0)</f>
        <v>DH_400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tr">
        <f>_xlfn.XLOOKUP(Table3[[#This Row],[Location ]],Table1[Location],Table1[Oracle Location],0,0)</f>
        <v>MTY 1, MTY1</v>
      </c>
      <c r="F1108" s="3" t="str">
        <f>_xlfn.XLOOKUP(Table3[[#This Row],[Location ]], Table1[Location],Table1[SVG Location],0,0)</f>
        <v>Warehouse</v>
      </c>
      <c r="G1108" s="3" t="s">
        <v>1616</v>
      </c>
    </row>
    <row r="1109" spans="1:7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tr">
        <f>_xlfn.XLOOKUP(Table3[[#This Row],[Location ]],Table1[Location],Table1[Oracle Location],0,0)</f>
        <v>MONDP</v>
      </c>
      <c r="F1109" s="3" t="str">
        <f>_xlfn.XLOOKUP(Table3[[#This Row],[Location ]], Table1[Location],Table1[SVG Location],0,0)</f>
        <v>DH_400</v>
      </c>
      <c r="G1109" s="3" t="s">
        <v>1617</v>
      </c>
    </row>
    <row r="1110" spans="1:7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tr">
        <f>_xlfn.XLOOKUP(Table3[[#This Row],[Location ]],Table1[Location],Table1[Oracle Location],0,0)</f>
        <v>MONPRE</v>
      </c>
      <c r="F1110" s="3" t="str">
        <f>_xlfn.XLOOKUP(Table3[[#This Row],[Location ]], Table1[Location],Table1[SVG Location],0,0)</f>
        <v>PRE_L1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tr">
        <f>_xlfn.XLOOKUP(Table3[[#This Row],[Location ]],Table1[Location],Table1[Oracle Location],0,0)</f>
        <v>MTY3</v>
      </c>
      <c r="F1111" s="3" t="str">
        <f>_xlfn.XLOOKUP(Table3[[#This Row],[Location ]], Table1[Location],Table1[SVG Location],0,0)</f>
        <v>MTY3</v>
      </c>
      <c r="G1111" s="3" t="s">
        <v>1614</v>
      </c>
    </row>
    <row r="1112" spans="1:7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tr">
        <f>_xlfn.XLOOKUP(Table3[[#This Row],[Location ]],Table1[Location],Table1[Oracle Location],0,0)</f>
        <v>MONSKID</v>
      </c>
      <c r="F1112" s="3" t="str">
        <f>_xlfn.XLOOKUP(Table3[[#This Row],[Location ]], Table1[Location],Table1[SVG Location],0,0)</f>
        <v>SKID</v>
      </c>
      <c r="G1112" s="3" t="s">
        <v>1615</v>
      </c>
    </row>
    <row r="1113" spans="1:7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tr">
        <f>_xlfn.XLOOKUP(Table3[[#This Row],[Location ]],Table1[Location],Table1[Oracle Location],0,0)</f>
        <v>MONDP</v>
      </c>
      <c r="F1113" s="3" t="str">
        <f>_xlfn.XLOOKUP(Table3[[#This Row],[Location ]], Table1[Location],Table1[SVG Location],0,0)</f>
        <v>DH_400</v>
      </c>
      <c r="G1113" s="3" t="s">
        <v>1617</v>
      </c>
    </row>
    <row r="1114" spans="1:7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tr">
        <f>_xlfn.XLOOKUP(Table3[[#This Row],[Location ]],Table1[Location],Table1[Oracle Location],0,0)</f>
        <v>MONEP</v>
      </c>
      <c r="F1114" s="3" t="str">
        <f>_xlfn.XLOOKUP(Table3[[#This Row],[Location ]], Table1[Location],Table1[SVG Location],0,0)</f>
        <v>EP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tr">
        <f>_xlfn.XLOOKUP(Table3[[#This Row],[Location ]],Table1[Location],Table1[Oracle Location],0,0)</f>
        <v>MONDP</v>
      </c>
      <c r="F1115" s="3" t="str">
        <f>_xlfn.XLOOKUP(Table3[[#This Row],[Location ]], Table1[Location],Table1[SVG Location],0,0)</f>
        <v>DH_400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tr">
        <f>_xlfn.XLOOKUP(Table3[[#This Row],[Location ]],Table1[Location],Table1[Oracle Location],0,0)</f>
        <v>MONXDM</v>
      </c>
      <c r="F1116" s="3" t="str">
        <f>_xlfn.XLOOKUP(Table3[[#This Row],[Location ]], Table1[Location],Table1[SVG Location],0,0)</f>
        <v>XDM</v>
      </c>
      <c r="G1116" s="3" t="s">
        <v>1614</v>
      </c>
    </row>
    <row r="1117" spans="1:7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tr">
        <f>_xlfn.XLOOKUP(Table3[[#This Row],[Location ]],Table1[Location],Table1[Oracle Location],0,0)</f>
        <v>SHIP</v>
      </c>
      <c r="F1117" s="3" t="str">
        <f>_xlfn.XLOOKUP(Table3[[#This Row],[Location ]], Table1[Location],Table1[SVG Location],0,0)</f>
        <v>SHIP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tr">
        <f>_xlfn.XLOOKUP(Table3[[#This Row],[Location ]],Table1[Location],Table1[Oracle Location],0,0)</f>
        <v>MONEP</v>
      </c>
      <c r="F1118" s="3" t="str">
        <f>_xlfn.XLOOKUP(Table3[[#This Row],[Location ]], Table1[Location],Table1[SVG Location],0,0)</f>
        <v>EP</v>
      </c>
      <c r="G1118" s="3" t="s">
        <v>1616</v>
      </c>
    </row>
    <row r="1119" spans="1:7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tr">
        <f>_xlfn.XLOOKUP(Table3[[#This Row],[Location ]],Table1[Location],Table1[Oracle Location],0,0)</f>
        <v>MTY 1, MTY1</v>
      </c>
      <c r="F1119" s="3" t="str">
        <f>_xlfn.XLOOKUP(Table3[[#This Row],[Location ]], Table1[Location],Table1[SVG Location],0,0)</f>
        <v>Warehouse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tr">
        <f>_xlfn.XLOOKUP(Table3[[#This Row],[Location ]],Table1[Location],Table1[Oracle Location],0,0)</f>
        <v>MONXDU</v>
      </c>
      <c r="F1120" s="3" t="str">
        <f>_xlfn.XLOOKUP(Table3[[#This Row],[Location ]], Table1[Location],Table1[SVG Location],0,0)</f>
        <v>XDU_1350</v>
      </c>
      <c r="G1120" s="3" t="s">
        <v>1616</v>
      </c>
    </row>
    <row r="1121" spans="1:7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tr">
        <f>_xlfn.XLOOKUP(Table3[[#This Row],[Location ]],Table1[Location],Table1[Oracle Location],0,0)</f>
        <v>MONXDU</v>
      </c>
      <c r="F1121" s="3" t="str">
        <f>_xlfn.XLOOKUP(Table3[[#This Row],[Location ]], Table1[Location],Table1[SVG Location],0,0)</f>
        <v>XDU_1350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tr">
        <f>_xlfn.XLOOKUP(Table3[[#This Row],[Location ]],Table1[Location],Table1[Oracle Location],0,0)</f>
        <v>MTY 1, MTY1</v>
      </c>
      <c r="F1122" s="3" t="str">
        <f>_xlfn.XLOOKUP(Table3[[#This Row],[Location ]], Table1[Location],Table1[SVG Location],0,0)</f>
        <v>Warehouse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tr">
        <f>_xlfn.XLOOKUP(Table3[[#This Row],[Location ]],Table1[Location],Table1[Oracle Location],0,0)</f>
        <v>MTY3</v>
      </c>
      <c r="F1123" s="3" t="str">
        <f>_xlfn.XLOOKUP(Table3[[#This Row],[Location ]], Table1[Location],Table1[SVG Location],0,0)</f>
        <v>MTY3</v>
      </c>
      <c r="G1123" s="3">
        <v>0</v>
      </c>
    </row>
    <row r="1124" spans="1:7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tr">
        <f>_xlfn.XLOOKUP(Table3[[#This Row],[Location ]],Table1[Location],Table1[Oracle Location],0,0)</f>
        <v>MTY 1, MTY1</v>
      </c>
      <c r="F1124" s="3" t="str">
        <f>_xlfn.XLOOKUP(Table3[[#This Row],[Location ]], Table1[Location],Table1[SVG Location],0,0)</f>
        <v>Warehouse</v>
      </c>
      <c r="G1124" s="3" t="s">
        <v>1615</v>
      </c>
    </row>
    <row r="1125" spans="1:7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tr">
        <f>_xlfn.XLOOKUP(Table3[[#This Row],[Location ]],Table1[Location],Table1[Oracle Location],0,0)</f>
        <v>MONDP</v>
      </c>
      <c r="F1125" s="3" t="str">
        <f>_xlfn.XLOOKUP(Table3[[#This Row],[Location ]], Table1[Location],Table1[SVG Location],0,0)</f>
        <v>DH_400</v>
      </c>
      <c r="G1125" s="3" t="s">
        <v>1613</v>
      </c>
    </row>
    <row r="1126" spans="1:7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tr">
        <f>_xlfn.XLOOKUP(Table3[[#This Row],[Location ]],Table1[Location],Table1[Oracle Location],0,0)</f>
        <v>MONXDU</v>
      </c>
      <c r="F1126" s="3" t="str">
        <f>_xlfn.XLOOKUP(Table3[[#This Row],[Location ]], Table1[Location],Table1[SVG Location],0,0)</f>
        <v>XDU_1350</v>
      </c>
      <c r="G1126" s="3" t="s">
        <v>1617</v>
      </c>
    </row>
    <row r="1127" spans="1:7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tr">
        <f>_xlfn.XLOOKUP(Table3[[#This Row],[Location ]],Table1[Location],Table1[Oracle Location],0,0)</f>
        <v>MONMC</v>
      </c>
      <c r="F1127" s="3" t="str">
        <f>_xlfn.XLOOKUP(Table3[[#This Row],[Location ]], Table1[Location],Table1[SVG Location],0,0)</f>
        <v>MC</v>
      </c>
      <c r="G1127" s="3" t="s">
        <v>1617</v>
      </c>
    </row>
    <row r="1128" spans="1:7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tr">
        <f>_xlfn.XLOOKUP(Table3[[#This Row],[Location ]],Table1[Location],Table1[Oracle Location],0,0)</f>
        <v>MONBLW</v>
      </c>
      <c r="F1128" s="3" t="str">
        <f>_xlfn.XLOOKUP(Table3[[#This Row],[Location ]], Table1[Location],Table1[SVG Location],0,0)</f>
        <v>Blower</v>
      </c>
      <c r="G1128" s="3" t="s">
        <v>1617</v>
      </c>
    </row>
    <row r="1129" spans="1:7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tr">
        <f>_xlfn.XLOOKUP(Table3[[#This Row],[Location ]],Table1[Location],Table1[Oracle Location],0,0)</f>
        <v>MONEP</v>
      </c>
      <c r="F1129" s="3" t="str">
        <f>_xlfn.XLOOKUP(Table3[[#This Row],[Location ]], Table1[Location],Table1[SVG Location],0,0)</f>
        <v>EP</v>
      </c>
      <c r="G1129" s="3" t="s">
        <v>1613</v>
      </c>
    </row>
    <row r="1130" spans="1:7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tr">
        <f>_xlfn.XLOOKUP(Table3[[#This Row],[Location ]],Table1[Location],Table1[Oracle Location],0,0)</f>
        <v>MONEP</v>
      </c>
      <c r="F1130" s="3" t="str">
        <f>_xlfn.XLOOKUP(Table3[[#This Row],[Location ]], Table1[Location],Table1[SVG Location],0,0)</f>
        <v>EP</v>
      </c>
      <c r="G1130" s="3" t="s">
        <v>1615</v>
      </c>
    </row>
    <row r="1131" spans="1:7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tr">
        <f>_xlfn.XLOOKUP(Table3[[#This Row],[Location ]],Table1[Location],Table1[Oracle Location],0,0)</f>
        <v>MONEP</v>
      </c>
      <c r="F1131" s="3" t="str">
        <f>_xlfn.XLOOKUP(Table3[[#This Row],[Location ]], Table1[Location],Table1[SVG Location],0,0)</f>
        <v>EP</v>
      </c>
      <c r="G1131" s="3" t="s">
        <v>1613</v>
      </c>
    </row>
    <row r="1132" spans="1:7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tr">
        <f>_xlfn.XLOOKUP(Table3[[#This Row],[Location ]],Table1[Location],Table1[Oracle Location],0,0)</f>
        <v>MONDP</v>
      </c>
      <c r="F1132" s="3" t="str">
        <f>_xlfn.XLOOKUP(Table3[[#This Row],[Location ]], Table1[Location],Table1[SVG Location],0,0)</f>
        <v>DH_400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tr">
        <f>_xlfn.XLOOKUP(Table3[[#This Row],[Location ]],Table1[Location],Table1[Oracle Location],0,0)</f>
        <v>MTY 1, MTY1</v>
      </c>
      <c r="F1133" s="3" t="str">
        <f>_xlfn.XLOOKUP(Table3[[#This Row],[Location ]], Table1[Location],Table1[SVG Location],0,0)</f>
        <v>Warehouse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tr">
        <f>_xlfn.XLOOKUP(Table3[[#This Row],[Location ]],Table1[Location],Table1[Oracle Location],0,0)</f>
        <v>MTY3</v>
      </c>
      <c r="F1134" s="3" t="str">
        <f>_xlfn.XLOOKUP(Table3[[#This Row],[Location ]], Table1[Location],Table1[SVG Location],0,0)</f>
        <v>MTY3</v>
      </c>
      <c r="G1134" s="3">
        <v>0</v>
      </c>
    </row>
    <row r="1135" spans="1:7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tr">
        <f>_xlfn.XLOOKUP(Table3[[#This Row],[Location ]],Table1[Location],Table1[Oracle Location],0,0)</f>
        <v>MONDP</v>
      </c>
      <c r="F1135" s="3" t="str">
        <f>_xlfn.XLOOKUP(Table3[[#This Row],[Location ]], Table1[Location],Table1[SVG Location],0,0)</f>
        <v>DH_400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tr">
        <f>_xlfn.XLOOKUP(Table3[[#This Row],[Location ]],Table1[Location],Table1[Oracle Location],0,0)</f>
        <v>MONDA</v>
      </c>
      <c r="F1136" s="3" t="str">
        <f>_xlfn.XLOOKUP(Table3[[#This Row],[Location ]], Table1[Location],Table1[SVG Location],0,0)</f>
        <v>MONDA</v>
      </c>
      <c r="G1136" s="3" t="s">
        <v>1616</v>
      </c>
    </row>
    <row r="1137" spans="1:7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tr">
        <f>_xlfn.XLOOKUP(Table3[[#This Row],[Location ]],Table1[Location],Table1[Oracle Location],0,0)</f>
        <v>MONXDM</v>
      </c>
      <c r="F1137" s="3" t="str">
        <f>_xlfn.XLOOKUP(Table3[[#This Row],[Location ]], Table1[Location],Table1[SVG Location],0,0)</f>
        <v>XDM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tr">
        <f>_xlfn.XLOOKUP(Table3[[#This Row],[Location ]],Table1[Location],Table1[Oracle Location],0,0)</f>
        <v>MTY 1, MTY1</v>
      </c>
      <c r="F1138" s="3" t="str">
        <f>_xlfn.XLOOKUP(Table3[[#This Row],[Location ]], Table1[Location],Table1[SVG Location],0,0)</f>
        <v>Warehouse</v>
      </c>
      <c r="G1138" s="3" t="s">
        <v>1616</v>
      </c>
    </row>
    <row r="1139" spans="1:7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tr">
        <f>_xlfn.XLOOKUP(Table3[[#This Row],[Location ]],Table1[Location],Table1[Oracle Location],0,0)</f>
        <v>MONDP</v>
      </c>
      <c r="F1139" s="3" t="str">
        <f>_xlfn.XLOOKUP(Table3[[#This Row],[Location ]], Table1[Location],Table1[SVG Location],0,0)</f>
        <v>DH_400</v>
      </c>
      <c r="G1139" s="3" t="s">
        <v>1615</v>
      </c>
    </row>
    <row r="1140" spans="1:7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tr">
        <f>_xlfn.XLOOKUP(Table3[[#This Row],[Location ]],Table1[Location],Table1[Oracle Location],0,0)</f>
        <v>MONMC</v>
      </c>
      <c r="F1140" s="3" t="str">
        <f>_xlfn.XLOOKUP(Table3[[#This Row],[Location ]], Table1[Location],Table1[SVG Location],0,0)</f>
        <v>MC</v>
      </c>
      <c r="G1140" s="3" t="s">
        <v>1617</v>
      </c>
    </row>
    <row r="1141" spans="1:7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tr">
        <f>_xlfn.XLOOKUP(Table3[[#This Row],[Location ]],Table1[Location],Table1[Oracle Location],0,0)</f>
        <v>MONCOILS</v>
      </c>
      <c r="F1141" s="3" t="str">
        <f>_xlfn.XLOOKUP(Table3[[#This Row],[Location ]], Table1[Location],Table1[SVG Location],0,0)</f>
        <v>Coils_Shop</v>
      </c>
      <c r="G1141" s="3" t="s">
        <v>1615</v>
      </c>
    </row>
    <row r="1142" spans="1:7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tr">
        <f>_xlfn.XLOOKUP(Table3[[#This Row],[Location ]],Table1[Location],Table1[Oracle Location],0,0)</f>
        <v>MONXDU100</v>
      </c>
      <c r="F1142" s="3" t="str">
        <f>_xlfn.XLOOKUP(Table3[[#This Row],[Location ]], Table1[Location],Table1[SVG Location],0,0)</f>
        <v>XDU_100</v>
      </c>
      <c r="G1142" s="3" t="s">
        <v>1615</v>
      </c>
    </row>
    <row r="1143" spans="1:7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tr">
        <f>_xlfn.XLOOKUP(Table3[[#This Row],[Location ]],Table1[Location],Table1[Oracle Location],0,0)</f>
        <v>MONEP</v>
      </c>
      <c r="F1143" s="3" t="str">
        <f>_xlfn.XLOOKUP(Table3[[#This Row],[Location ]], Table1[Location],Table1[SVG Location],0,0)</f>
        <v>EP</v>
      </c>
      <c r="G1143" s="3" t="s">
        <v>1617</v>
      </c>
    </row>
    <row r="1144" spans="1:7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tr">
        <f>_xlfn.XLOOKUP(Table3[[#This Row],[Location ]],Table1[Location],Table1[Oracle Location],0,0)</f>
        <v>MONKITS</v>
      </c>
      <c r="F1144" s="3" t="str">
        <f>_xlfn.XLOOKUP(Table3[[#This Row],[Location ]], Table1[Location],Table1[SVG Location],0,0)</f>
        <v>Kits</v>
      </c>
      <c r="G1144" s="3" t="s">
        <v>1617</v>
      </c>
    </row>
    <row r="1145" spans="1:7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tr">
        <f>_xlfn.XLOOKUP(Table3[[#This Row],[Location ]],Table1[Location],Table1[Oracle Location],0,0)</f>
        <v>MONDP</v>
      </c>
      <c r="F1145" s="3" t="str">
        <f>_xlfn.XLOOKUP(Table3[[#This Row],[Location ]], Table1[Location],Table1[SVG Location],0,0)</f>
        <v>DH_400</v>
      </c>
      <c r="G1145" s="3" t="s">
        <v>1613</v>
      </c>
    </row>
    <row r="1146" spans="1:7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tr">
        <f>_xlfn.XLOOKUP(Table3[[#This Row],[Location ]],Table1[Location],Table1[Oracle Location],0,0)</f>
        <v>MONMC</v>
      </c>
      <c r="F1146" s="3" t="str">
        <f>_xlfn.XLOOKUP(Table3[[#This Row],[Location ]], Table1[Location],Table1[SVG Location],0,0)</f>
        <v>MC</v>
      </c>
      <c r="G1146" s="3" t="s">
        <v>1617</v>
      </c>
    </row>
    <row r="1147" spans="1:7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tr">
        <f>_xlfn.XLOOKUP(Table3[[#This Row],[Location ]],Table1[Location],Table1[Oracle Location],0,0)</f>
        <v>MONDP</v>
      </c>
      <c r="F1147" s="3" t="str">
        <f>_xlfn.XLOOKUP(Table3[[#This Row],[Location ]], Table1[Location],Table1[SVG Location],0,0)</f>
        <v>DH_400</v>
      </c>
      <c r="G1147" s="3" t="s">
        <v>1617</v>
      </c>
    </row>
    <row r="1148" spans="1:7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tr">
        <f>_xlfn.XLOOKUP(Table3[[#This Row],[Location ]],Table1[Location],Table1[Oracle Location],0,0)</f>
        <v>MONPIPING</v>
      </c>
      <c r="F1148" s="3" t="str">
        <f>_xlfn.XLOOKUP(Table3[[#This Row],[Location ]], Table1[Location],Table1[SVG Location],0,0)</f>
        <v>Piping</v>
      </c>
      <c r="G1148" s="3" t="s">
        <v>1617</v>
      </c>
    </row>
    <row r="1149" spans="1:7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tr">
        <f>_xlfn.XLOOKUP(Table3[[#This Row],[Location ]],Table1[Location],Table1[Oracle Location],0,0)</f>
        <v>MONCOILS</v>
      </c>
      <c r="F1149" s="3" t="str">
        <f>_xlfn.XLOOKUP(Table3[[#This Row],[Location ]], Table1[Location],Table1[SVG Location],0,0)</f>
        <v>Coils_Shop</v>
      </c>
      <c r="G1149" s="3" t="s">
        <v>1617</v>
      </c>
    </row>
    <row r="1150" spans="1:7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tr">
        <f>_xlfn.XLOOKUP(Table3[[#This Row],[Location ]],Table1[Location],Table1[Oracle Location],0,0)</f>
        <v>MTY 1, MTY1</v>
      </c>
      <c r="F1150" s="3" t="str">
        <f>_xlfn.XLOOKUP(Table3[[#This Row],[Location ]], Table1[Location],Table1[SVG Location],0,0)</f>
        <v>Warehouse</v>
      </c>
      <c r="G1150" s="3" t="s">
        <v>1615</v>
      </c>
    </row>
    <row r="1151" spans="1:7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tr">
        <f>_xlfn.XLOOKUP(Table3[[#This Row],[Location ]],Table1[Location],Table1[Oracle Location],0,0)</f>
        <v>MONEP</v>
      </c>
      <c r="F1151" s="3" t="str">
        <f>_xlfn.XLOOKUP(Table3[[#This Row],[Location ]], Table1[Location],Table1[SVG Location],0,0)</f>
        <v>EP</v>
      </c>
      <c r="G1151" s="3" t="s">
        <v>1613</v>
      </c>
    </row>
    <row r="1152" spans="1:7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tr">
        <f>_xlfn.XLOOKUP(Table3[[#This Row],[Location ]],Table1[Location],Table1[Oracle Location],0,0)</f>
        <v>MONXDU</v>
      </c>
      <c r="F1152" s="3" t="str">
        <f>_xlfn.XLOOKUP(Table3[[#This Row],[Location ]], Table1[Location],Table1[SVG Location],0,0)</f>
        <v>XDU_1350</v>
      </c>
      <c r="G1152" s="3" t="s">
        <v>1613</v>
      </c>
    </row>
    <row r="1153" spans="1:7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tr">
        <f>_xlfn.XLOOKUP(Table3[[#This Row],[Location ]],Table1[Location],Table1[Oracle Location],0,0)</f>
        <v>MONDA</v>
      </c>
      <c r="F1153" s="3" t="str">
        <f>_xlfn.XLOOKUP(Table3[[#This Row],[Location ]], Table1[Location],Table1[SVG Location],0,0)</f>
        <v>MONDA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tr">
        <f>_xlfn.XLOOKUP(Table3[[#This Row],[Location ]],Table1[Location],Table1[Oracle Location],0,0)</f>
        <v>ALL</v>
      </c>
      <c r="F1154" s="3" t="str">
        <f>_xlfn.XLOOKUP(Table3[[#This Row],[Location ]], Table1[Location],Table1[SVG Location],0,0)</f>
        <v>ALL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tr">
        <f>_xlfn.XLOOKUP(Table3[[#This Row],[Location ]],Table1[Location],Table1[Oracle Location],0,0)</f>
        <v>MTY3</v>
      </c>
      <c r="F1155" s="3" t="str">
        <f>_xlfn.XLOOKUP(Table3[[#This Row],[Location ]], Table1[Location],Table1[SVG Location],0,0)</f>
        <v>MTY3</v>
      </c>
      <c r="G1155" s="3" t="s">
        <v>1614</v>
      </c>
    </row>
    <row r="1156" spans="1:7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tr">
        <f>_xlfn.XLOOKUP(Table3[[#This Row],[Location ]],Table1[Location],Table1[Oracle Location],0,0)</f>
        <v>MONXDU</v>
      </c>
      <c r="F1156" s="3" t="str">
        <f>_xlfn.XLOOKUP(Table3[[#This Row],[Location ]], Table1[Location],Table1[SVG Location],0,0)</f>
        <v>XDU_1350</v>
      </c>
      <c r="G1156" s="3" t="s">
        <v>1617</v>
      </c>
    </row>
    <row r="1157" spans="1:7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tr">
        <f>_xlfn.XLOOKUP(Table3[[#This Row],[Location ]],Table1[Location],Table1[Oracle Location],0,0)</f>
        <v>MONDA</v>
      </c>
      <c r="F1157" s="3" t="str">
        <f>_xlfn.XLOOKUP(Table3[[#This Row],[Location ]], Table1[Location],Table1[SVG Location],0,0)</f>
        <v>MONDA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tr">
        <f>_xlfn.XLOOKUP(Table3[[#This Row],[Location ]],Table1[Location],Table1[Oracle Location],0,0)</f>
        <v>ALL</v>
      </c>
      <c r="F1158" s="3" t="str">
        <f>_xlfn.XLOOKUP(Table3[[#This Row],[Location ]], Table1[Location],Table1[SVG Location],0,0)</f>
        <v>ALL</v>
      </c>
      <c r="G1158" s="3">
        <v>0</v>
      </c>
    </row>
    <row r="1159" spans="1:7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tr">
        <f>_xlfn.XLOOKUP(Table3[[#This Row],[Location ]],Table1[Location],Table1[Oracle Location],0,0)</f>
        <v>MONEP</v>
      </c>
      <c r="F1159" s="3" t="str">
        <f>_xlfn.XLOOKUP(Table3[[#This Row],[Location ]], Table1[Location],Table1[SVG Location],0,0)</f>
        <v>EP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tr">
        <f>_xlfn.XLOOKUP(Table3[[#This Row],[Location ]],Table1[Location],Table1[Oracle Location],0,0)</f>
        <v>MONPIPING</v>
      </c>
      <c r="F1160" s="3" t="str">
        <f>_xlfn.XLOOKUP(Table3[[#This Row],[Location ]], Table1[Location],Table1[SVG Location],0,0)</f>
        <v>Piping</v>
      </c>
      <c r="G1160" s="3" t="s">
        <v>1616</v>
      </c>
    </row>
    <row r="1161" spans="1:7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tr">
        <f>_xlfn.XLOOKUP(Table3[[#This Row],[Location ]],Table1[Location],Table1[Oracle Location],0,0)</f>
        <v>MTY 1, MTY1</v>
      </c>
      <c r="F1161" s="3" t="str">
        <f>_xlfn.XLOOKUP(Table3[[#This Row],[Location ]], Table1[Location],Table1[SVG Location],0,0)</f>
        <v>Warehouse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tr">
        <f>_xlfn.XLOOKUP(Table3[[#This Row],[Location ]],Table1[Location],Table1[Oracle Location],0,0)</f>
        <v>MONDP</v>
      </c>
      <c r="F1162" s="3" t="str">
        <f>_xlfn.XLOOKUP(Table3[[#This Row],[Location ]], Table1[Location],Table1[SVG Location],0,0)</f>
        <v>DH_400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tr">
        <f>_xlfn.XLOOKUP(Table3[[#This Row],[Location ]],Table1[Location],Table1[Oracle Location],0,0)</f>
        <v>MRBM</v>
      </c>
      <c r="F1163" s="3" t="str">
        <f>_xlfn.XLOOKUP(Table3[[#This Row],[Location ]], Table1[Location],Table1[SVG Location],0,0)</f>
        <v>MRB</v>
      </c>
      <c r="G1163" s="3" t="s">
        <v>1614</v>
      </c>
    </row>
    <row r="1164" spans="1:7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tr">
        <f>_xlfn.XLOOKUP(Table3[[#This Row],[Location ]],Table1[Location],Table1[Oracle Location],0,0)</f>
        <v>MONXDU</v>
      </c>
      <c r="F1164" s="3" t="str">
        <f>_xlfn.XLOOKUP(Table3[[#This Row],[Location ]], Table1[Location],Table1[SVG Location],0,0)</f>
        <v>XDU_1350</v>
      </c>
      <c r="G1164" s="3" t="s">
        <v>1617</v>
      </c>
    </row>
    <row r="1165" spans="1:7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tr">
        <f>_xlfn.XLOOKUP(Table3[[#This Row],[Location ]],Table1[Location],Table1[Oracle Location],0,0)</f>
        <v>MONDP</v>
      </c>
      <c r="F1165" s="3" t="str">
        <f>_xlfn.XLOOKUP(Table3[[#This Row],[Location ]], Table1[Location],Table1[SVG Location],0,0)</f>
        <v>DH_400</v>
      </c>
      <c r="G1165" s="3" t="s">
        <v>1617</v>
      </c>
    </row>
    <row r="1166" spans="1:7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tr">
        <f>_xlfn.XLOOKUP(Table3[[#This Row],[Location ]],Table1[Location],Table1[Oracle Location],0,0)</f>
        <v>MONDP</v>
      </c>
      <c r="F1166" s="3" t="str">
        <f>_xlfn.XLOOKUP(Table3[[#This Row],[Location ]], Table1[Location],Table1[SVG Location],0,0)</f>
        <v>DH_400</v>
      </c>
      <c r="G1166" s="3" t="s">
        <v>1613</v>
      </c>
    </row>
    <row r="1167" spans="1:7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tr">
        <f>_xlfn.XLOOKUP(Table3[[#This Row],[Location ]],Table1[Location],Table1[Oracle Location],0,0)</f>
        <v>MONDP</v>
      </c>
      <c r="F1167" s="3" t="str">
        <f>_xlfn.XLOOKUP(Table3[[#This Row],[Location ]], Table1[Location],Table1[SVG Location],0,0)</f>
        <v>DH_400</v>
      </c>
      <c r="G1167" s="3" t="s">
        <v>1617</v>
      </c>
    </row>
    <row r="1168" spans="1:7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tr">
        <f>_xlfn.XLOOKUP(Table3[[#This Row],[Location ]],Table1[Location],Table1[Oracle Location],0,0)</f>
        <v>MONXDU100</v>
      </c>
      <c r="F1168" s="3" t="str">
        <f>_xlfn.XLOOKUP(Table3[[#This Row],[Location ]], Table1[Location],Table1[SVG Location],0,0)</f>
        <v>XDU_100</v>
      </c>
      <c r="G1168" s="3" t="s">
        <v>1613</v>
      </c>
    </row>
    <row r="1169" spans="1:7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tr">
        <f>_xlfn.XLOOKUP(Table3[[#This Row],[Location ]],Table1[Location],Table1[Oracle Location],0,0)</f>
        <v>MONDA</v>
      </c>
      <c r="F1169" s="3" t="str">
        <f>_xlfn.XLOOKUP(Table3[[#This Row],[Location ]], Table1[Location],Table1[SVG Location],0,0)</f>
        <v>MONDA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tr">
        <f>_xlfn.XLOOKUP(Table3[[#This Row],[Location ]],Table1[Location],Table1[Oracle Location],0,0)</f>
        <v>MTY 1, MTY1</v>
      </c>
      <c r="F1170" s="3" t="str">
        <f>_xlfn.XLOOKUP(Table3[[#This Row],[Location ]], Table1[Location],Table1[SVG Location],0,0)</f>
        <v>Warehouse</v>
      </c>
      <c r="G1170" s="3" t="s">
        <v>1616</v>
      </c>
    </row>
    <row r="1171" spans="1:7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tr">
        <f>_xlfn.XLOOKUP(Table3[[#This Row],[Location ]],Table1[Location],Table1[Oracle Location],0,0)</f>
        <v>MONDP</v>
      </c>
      <c r="F1171" s="3" t="str">
        <f>_xlfn.XLOOKUP(Table3[[#This Row],[Location ]], Table1[Location],Table1[SVG Location],0,0)</f>
        <v>DH_400</v>
      </c>
      <c r="G1171" s="3" t="s">
        <v>1613</v>
      </c>
    </row>
    <row r="1172" spans="1:7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tr">
        <f>_xlfn.XLOOKUP(Table3[[#This Row],[Location ]],Table1[Location],Table1[Oracle Location],0,0)</f>
        <v>MONXDU100</v>
      </c>
      <c r="F1172" s="3" t="str">
        <f>_xlfn.XLOOKUP(Table3[[#This Row],[Location ]], Table1[Location],Table1[SVG Location],0,0)</f>
        <v>XDU_100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tr">
        <f>_xlfn.XLOOKUP(Table3[[#This Row],[Location ]],Table1[Location],Table1[Oracle Location],0,0)</f>
        <v>MONCOILS</v>
      </c>
      <c r="F1173" s="3" t="str">
        <f>_xlfn.XLOOKUP(Table3[[#This Row],[Location ]], Table1[Location],Table1[SVG Location],0,0)</f>
        <v>Coils_Shop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tr">
        <f>_xlfn.XLOOKUP(Table3[[#This Row],[Location ]],Table1[Location],Table1[Oracle Location],0,0)</f>
        <v>ALL</v>
      </c>
      <c r="F1174" s="3" t="str">
        <f>_xlfn.XLOOKUP(Table3[[#This Row],[Location ]], Table1[Location],Table1[SVG Location],0,0)</f>
        <v>ALL</v>
      </c>
      <c r="G1174" s="3">
        <v>0</v>
      </c>
    </row>
    <row r="1175" spans="1:7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tr">
        <f>_xlfn.XLOOKUP(Table3[[#This Row],[Location ]],Table1[Location],Table1[Oracle Location],0,0)</f>
        <v>MONXDU</v>
      </c>
      <c r="F1175" s="3" t="str">
        <f>_xlfn.XLOOKUP(Table3[[#This Row],[Location ]], Table1[Location],Table1[SVG Location],0,0)</f>
        <v>XDU_1350</v>
      </c>
      <c r="G1175" s="3" t="s">
        <v>1613</v>
      </c>
    </row>
    <row r="1176" spans="1:7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tr">
        <f>_xlfn.XLOOKUP(Table3[[#This Row],[Location ]],Table1[Location],Table1[Oracle Location],0,0)</f>
        <v>MONPIPING</v>
      </c>
      <c r="F1176" s="3" t="str">
        <f>_xlfn.XLOOKUP(Table3[[#This Row],[Location ]], Table1[Location],Table1[SVG Location],0,0)</f>
        <v>Piping</v>
      </c>
      <c r="G1176" s="3" t="s">
        <v>1617</v>
      </c>
    </row>
    <row r="1177" spans="1:7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tr">
        <f>_xlfn.XLOOKUP(Table3[[#This Row],[Location ]],Table1[Location],Table1[Oracle Location],0,0)</f>
        <v>MONXDU</v>
      </c>
      <c r="F1177" s="3" t="str">
        <f>_xlfn.XLOOKUP(Table3[[#This Row],[Location ]], Table1[Location],Table1[SVG Location],0,0)</f>
        <v>XDU_1350</v>
      </c>
      <c r="G1177" s="3" t="s">
        <v>1613</v>
      </c>
    </row>
    <row r="1178" spans="1:7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tr">
        <f>_xlfn.XLOOKUP(Table3[[#This Row],[Location ]],Table1[Location],Table1[Oracle Location],0,0)</f>
        <v>MONDP</v>
      </c>
      <c r="F1178" s="3" t="str">
        <f>_xlfn.XLOOKUP(Table3[[#This Row],[Location ]], Table1[Location],Table1[SVG Location],0,0)</f>
        <v>DH_400</v>
      </c>
      <c r="G1178" s="3" t="s">
        <v>1617</v>
      </c>
    </row>
    <row r="1179" spans="1:7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tr">
        <f>_xlfn.XLOOKUP(Table3[[#This Row],[Location ]],Table1[Location],Table1[Oracle Location],0,0)</f>
        <v>MONCOILS</v>
      </c>
      <c r="F1179" s="3" t="str">
        <f>_xlfn.XLOOKUP(Table3[[#This Row],[Location ]], Table1[Location],Table1[SVG Location],0,0)</f>
        <v>Coils_Shop</v>
      </c>
      <c r="G1179" s="3" t="s">
        <v>1617</v>
      </c>
    </row>
    <row r="1180" spans="1:7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tr">
        <f>_xlfn.XLOOKUP(Table3[[#This Row],[Location ]],Table1[Location],Table1[Oracle Location],0,0)</f>
        <v>MTY 1, MTY1</v>
      </c>
      <c r="F1180" s="3" t="str">
        <f>_xlfn.XLOOKUP(Table3[[#This Row],[Location ]], Table1[Location],Table1[SVG Location],0,0)</f>
        <v>Warehouse</v>
      </c>
      <c r="G1180" s="3" t="s">
        <v>1613</v>
      </c>
    </row>
    <row r="1181" spans="1:7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tr">
        <f>_xlfn.XLOOKUP(Table3[[#This Row],[Location ]],Table1[Location],Table1[Oracle Location],0,0)</f>
        <v>MONDP</v>
      </c>
      <c r="F1181" s="3" t="str">
        <f>_xlfn.XLOOKUP(Table3[[#This Row],[Location ]], Table1[Location],Table1[SVG Location],0,0)</f>
        <v>DH_400</v>
      </c>
      <c r="G1181" s="3" t="s">
        <v>1615</v>
      </c>
    </row>
    <row r="1182" spans="1:7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tr">
        <f>_xlfn.XLOOKUP(Table3[[#This Row],[Location ]],Table1[Location],Table1[Oracle Location],0,0)</f>
        <v>MONPIPING</v>
      </c>
      <c r="F1182" s="3" t="str">
        <f>_xlfn.XLOOKUP(Table3[[#This Row],[Location ]], Table1[Location],Table1[SVG Location],0,0)</f>
        <v>Piping</v>
      </c>
      <c r="G1182" s="3" t="s">
        <v>1615</v>
      </c>
    </row>
    <row r="1183" spans="1:7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tr">
        <f>_xlfn.XLOOKUP(Table3[[#This Row],[Location ]],Table1[Location],Table1[Oracle Location],0,0)</f>
        <v>MONDP</v>
      </c>
      <c r="F1183" s="3" t="str">
        <f>_xlfn.XLOOKUP(Table3[[#This Row],[Location ]], Table1[Location],Table1[SVG Location],0,0)</f>
        <v>DH_400</v>
      </c>
      <c r="G1183" s="3" t="s">
        <v>1615</v>
      </c>
    </row>
    <row r="1184" spans="1:7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tr">
        <f>_xlfn.XLOOKUP(Table3[[#This Row],[Location ]],Table1[Location],Table1[Oracle Location],0,0)</f>
        <v>MONDP</v>
      </c>
      <c r="F1184" s="3" t="str">
        <f>_xlfn.XLOOKUP(Table3[[#This Row],[Location ]], Table1[Location],Table1[SVG Location],0,0)</f>
        <v>DH_400</v>
      </c>
      <c r="G1184" s="3" t="s">
        <v>1613</v>
      </c>
    </row>
    <row r="1185" spans="1:7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tr">
        <f>_xlfn.XLOOKUP(Table3[[#This Row],[Location ]],Table1[Location],Table1[Oracle Location],0,0)</f>
        <v>MONXDU</v>
      </c>
      <c r="F1185" s="3" t="str">
        <f>_xlfn.XLOOKUP(Table3[[#This Row],[Location ]], Table1[Location],Table1[SVG Location],0,0)</f>
        <v>XDU_1350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tr">
        <f>_xlfn.XLOOKUP(Table3[[#This Row],[Location ]],Table1[Location],Table1[Oracle Location],0,0)</f>
        <v>MONXDU</v>
      </c>
      <c r="F1186" s="3" t="str">
        <f>_xlfn.XLOOKUP(Table3[[#This Row],[Location ]], Table1[Location],Table1[SVG Location],0,0)</f>
        <v>XDU_1350</v>
      </c>
      <c r="G1186" s="3" t="s">
        <v>1616</v>
      </c>
    </row>
    <row r="1187" spans="1:7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tr">
        <f>_xlfn.XLOOKUP(Table3[[#This Row],[Location ]],Table1[Location],Table1[Oracle Location],0,0)</f>
        <v>MONXDU</v>
      </c>
      <c r="F1187" s="3" t="str">
        <f>_xlfn.XLOOKUP(Table3[[#This Row],[Location ]], Table1[Location],Table1[SVG Location],0,0)</f>
        <v>XDU_1350</v>
      </c>
      <c r="G1187" s="3" t="s">
        <v>1615</v>
      </c>
    </row>
    <row r="1188" spans="1:7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tr">
        <f>_xlfn.XLOOKUP(Table3[[#This Row],[Location ]],Table1[Location],Table1[Oracle Location],0,0)</f>
        <v>MONDP</v>
      </c>
      <c r="F1188" s="3" t="str">
        <f>_xlfn.XLOOKUP(Table3[[#This Row],[Location ]], Table1[Location],Table1[SVG Location],0,0)</f>
        <v>DH_400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tr">
        <f>_xlfn.XLOOKUP(Table3[[#This Row],[Location ]],Table1[Location],Table1[Oracle Location],0,0)</f>
        <v>MONSM</v>
      </c>
      <c r="F1189" s="3" t="str">
        <f>_xlfn.XLOOKUP(Table3[[#This Row],[Location ]], Table1[Location],Table1[SVG Location],0,0)</f>
        <v>Sheet_Metal</v>
      </c>
      <c r="G1189" s="3" t="s">
        <v>1616</v>
      </c>
    </row>
    <row r="1190" spans="1:7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tr">
        <f>_xlfn.XLOOKUP(Table3[[#This Row],[Location ]],Table1[Location],Table1[Oracle Location],0,0)</f>
        <v>MONXDU100</v>
      </c>
      <c r="F1190" s="3" t="str">
        <f>_xlfn.XLOOKUP(Table3[[#This Row],[Location ]], Table1[Location],Table1[SVG Location],0,0)</f>
        <v>XDU_100</v>
      </c>
      <c r="G1190" s="3" t="s">
        <v>1617</v>
      </c>
    </row>
    <row r="1191" spans="1:7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tr">
        <f>_xlfn.XLOOKUP(Table3[[#This Row],[Location ]],Table1[Location],Table1[Oracle Location],0,0)</f>
        <v>MONEP</v>
      </c>
      <c r="F1191" s="3" t="str">
        <f>_xlfn.XLOOKUP(Table3[[#This Row],[Location ]], Table1[Location],Table1[SVG Location],0,0)</f>
        <v>EP</v>
      </c>
      <c r="G1191" s="3" t="s">
        <v>1617</v>
      </c>
    </row>
    <row r="1192" spans="1:7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tr">
        <f>_xlfn.XLOOKUP(Table3[[#This Row],[Location ]],Table1[Location],Table1[Oracle Location],0,0)</f>
        <v>MONEP</v>
      </c>
      <c r="F1192" s="3" t="str">
        <f>_xlfn.XLOOKUP(Table3[[#This Row],[Location ]], Table1[Location],Table1[SVG Location],0,0)</f>
        <v>EP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tr">
        <f>_xlfn.XLOOKUP(Table3[[#This Row],[Location ]],Table1[Location],Table1[Oracle Location],0,0)</f>
        <v>MONXDM</v>
      </c>
      <c r="F1193" s="3" t="str">
        <f>_xlfn.XLOOKUP(Table3[[#This Row],[Location ]], Table1[Location],Table1[SVG Location],0,0)</f>
        <v>XDM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f>_xlfn.XLOOKUP(Table3[[#This Row],[Location ]],Table1[Location],Table1[Oracle Location],0,0)</f>
        <v>0</v>
      </c>
      <c r="F1194" s="3">
        <f>_xlfn.XLOOKUP(Table3[[#This Row],[Location ]], Table1[Location],Table1[SVG Location],0,0)</f>
        <v>0</v>
      </c>
      <c r="G1194" s="3" t="s">
        <v>1614</v>
      </c>
    </row>
    <row r="1195" spans="1:7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tr">
        <f>_xlfn.XLOOKUP(Table3[[#This Row],[Location ]],Table1[Location],Table1[Oracle Location],0,0)</f>
        <v>MONDP</v>
      </c>
      <c r="F1195" s="3" t="str">
        <f>_xlfn.XLOOKUP(Table3[[#This Row],[Location ]], Table1[Location],Table1[SVG Location],0,0)</f>
        <v>DH_400</v>
      </c>
      <c r="G1195" s="3" t="s">
        <v>1615</v>
      </c>
    </row>
    <row r="1196" spans="1:7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tr">
        <f>_xlfn.XLOOKUP(Table3[[#This Row],[Location ]],Table1[Location],Table1[Oracle Location],0,0)</f>
        <v>MONDA</v>
      </c>
      <c r="F1196" s="3" t="str">
        <f>_xlfn.XLOOKUP(Table3[[#This Row],[Location ]], Table1[Location],Table1[SVG Location],0,0)</f>
        <v>MONDA</v>
      </c>
      <c r="G1196" s="3" t="s">
        <v>1615</v>
      </c>
    </row>
    <row r="1197" spans="1:7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tr">
        <f>_xlfn.XLOOKUP(Table3[[#This Row],[Location ]],Table1[Location],Table1[Oracle Location],0,0)</f>
        <v>MONDP</v>
      </c>
      <c r="F1197" s="3" t="str">
        <f>_xlfn.XLOOKUP(Table3[[#This Row],[Location ]], Table1[Location],Table1[SVG Location],0,0)</f>
        <v>DH_400</v>
      </c>
      <c r="G1197" s="3" t="s">
        <v>1617</v>
      </c>
    </row>
    <row r="1198" spans="1:7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tr">
        <f>_xlfn.XLOOKUP(Table3[[#This Row],[Location ]],Table1[Location],Table1[Oracle Location],0,0)</f>
        <v>MONBLW</v>
      </c>
      <c r="F1198" s="3" t="str">
        <f>_xlfn.XLOOKUP(Table3[[#This Row],[Location ]], Table1[Location],Table1[SVG Location],0,0)</f>
        <v>Blower</v>
      </c>
      <c r="G1198" s="3" t="s">
        <v>1617</v>
      </c>
    </row>
    <row r="1199" spans="1:7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tr">
        <f>_xlfn.XLOOKUP(Table3[[#This Row],[Location ]],Table1[Location],Table1[Oracle Location],0,0)</f>
        <v>MONBLW</v>
      </c>
      <c r="F1199" s="3" t="str">
        <f>_xlfn.XLOOKUP(Table3[[#This Row],[Location ]], Table1[Location],Table1[SVG Location],0,0)</f>
        <v>Blower</v>
      </c>
      <c r="G1199" s="3" t="s">
        <v>1615</v>
      </c>
    </row>
    <row r="1200" spans="1:7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tr">
        <f>_xlfn.XLOOKUP(Table3[[#This Row],[Location ]],Table1[Location],Table1[Oracle Location],0,0)</f>
        <v>MONBLW</v>
      </c>
      <c r="F1200" s="3" t="str">
        <f>_xlfn.XLOOKUP(Table3[[#This Row],[Location ]], Table1[Location],Table1[SVG Location],0,0)</f>
        <v>Blower</v>
      </c>
      <c r="G1200" s="3" t="s">
        <v>1617</v>
      </c>
    </row>
    <row r="1201" spans="1:7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tr">
        <f>_xlfn.XLOOKUP(Table3[[#This Row],[Location ]],Table1[Location],Table1[Oracle Location],0,0)</f>
        <v>MONXDU</v>
      </c>
      <c r="F1201" s="3" t="str">
        <f>_xlfn.XLOOKUP(Table3[[#This Row],[Location ]], Table1[Location],Table1[SVG Location],0,0)</f>
        <v>XDU_1350</v>
      </c>
      <c r="G1201" s="3" t="s">
        <v>1613</v>
      </c>
    </row>
    <row r="1202" spans="1:7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tr">
        <f>_xlfn.XLOOKUP(Table3[[#This Row],[Location ]],Table1[Location],Table1[Oracle Location],0,0)</f>
        <v>MONBLW</v>
      </c>
      <c r="F1202" s="3" t="str">
        <f>_xlfn.XLOOKUP(Table3[[#This Row],[Location ]], Table1[Location],Table1[SVG Location],0,0)</f>
        <v>Blower</v>
      </c>
      <c r="G1202" s="3" t="s">
        <v>1615</v>
      </c>
    </row>
    <row r="1203" spans="1:7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tr">
        <f>_xlfn.XLOOKUP(Table3[[#This Row],[Location ]],Table1[Location],Table1[Oracle Location],0,0)</f>
        <v>MONXDU</v>
      </c>
      <c r="F1203" s="3" t="str">
        <f>_xlfn.XLOOKUP(Table3[[#This Row],[Location ]], Table1[Location],Table1[SVG Location],0,0)</f>
        <v>XDU_1350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tr">
        <f>_xlfn.XLOOKUP(Table3[[#This Row],[Location ]],Table1[Location],Table1[Oracle Location],0,0)</f>
        <v>SHIP</v>
      </c>
      <c r="F1204" s="3" t="str">
        <f>_xlfn.XLOOKUP(Table3[[#This Row],[Location ]], Table1[Location],Table1[SVG Location],0,0)</f>
        <v>SHIP</v>
      </c>
      <c r="G1204" s="3" t="s">
        <v>1616</v>
      </c>
    </row>
    <row r="1205" spans="1:7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tr">
        <f>_xlfn.XLOOKUP(Table3[[#This Row],[Location ]],Table1[Location],Table1[Oracle Location],0,0)</f>
        <v>MONMC</v>
      </c>
      <c r="F1205" s="3" t="str">
        <f>_xlfn.XLOOKUP(Table3[[#This Row],[Location ]], Table1[Location],Table1[SVG Location],0,0)</f>
        <v>MC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tr">
        <f>_xlfn.XLOOKUP(Table3[[#This Row],[Location ]],Table1[Location],Table1[Oracle Location],0,0)</f>
        <v>MTY3</v>
      </c>
      <c r="F1206" s="3" t="str">
        <f>_xlfn.XLOOKUP(Table3[[#This Row],[Location ]], Table1[Location],Table1[SVG Location],0,0)</f>
        <v>MTY3</v>
      </c>
      <c r="G1206" s="3" t="s">
        <v>1614</v>
      </c>
    </row>
    <row r="1207" spans="1:7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tr">
        <f>_xlfn.XLOOKUP(Table3[[#This Row],[Location ]],Table1[Location],Table1[Oracle Location],0,0)</f>
        <v>MONXDU</v>
      </c>
      <c r="F1207" s="3" t="str">
        <f>_xlfn.XLOOKUP(Table3[[#This Row],[Location ]], Table1[Location],Table1[SVG Location],0,0)</f>
        <v>XDU_1350</v>
      </c>
      <c r="G1207" s="3" t="s">
        <v>1615</v>
      </c>
    </row>
    <row r="1208" spans="1:7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tr">
        <f>_xlfn.XLOOKUP(Table3[[#This Row],[Location ]],Table1[Location],Table1[Oracle Location],0,0)</f>
        <v>MONEP</v>
      </c>
      <c r="F1208" s="3" t="str">
        <f>_xlfn.XLOOKUP(Table3[[#This Row],[Location ]], Table1[Location],Table1[SVG Location],0,0)</f>
        <v>EP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f>_xlfn.XLOOKUP(Table3[[#This Row],[Location ]],Table1[Location],Table1[Oracle Location],0,0)</f>
        <v>0</v>
      </c>
      <c r="F1209" s="3">
        <f>_xlfn.XLOOKUP(Table3[[#This Row],[Location ]], Table1[Location],Table1[SVG Location],0,0)</f>
        <v>0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tr">
        <f>_xlfn.XLOOKUP(Table3[[#This Row],[Location ]],Table1[Location],Table1[Oracle Location],0,0)</f>
        <v>MONXDU100</v>
      </c>
      <c r="F1210" s="3" t="str">
        <f>_xlfn.XLOOKUP(Table3[[#This Row],[Location ]], Table1[Location],Table1[SVG Location],0,0)</f>
        <v>XDU_100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tr">
        <f>_xlfn.XLOOKUP(Table3[[#This Row],[Location ]],Table1[Location],Table1[Oracle Location],0,0)</f>
        <v>MONKITS</v>
      </c>
      <c r="F1211" s="3" t="str">
        <f>_xlfn.XLOOKUP(Table3[[#This Row],[Location ]], Table1[Location],Table1[SVG Location],0,0)</f>
        <v>Kits</v>
      </c>
      <c r="G1211" s="3" t="s">
        <v>1614</v>
      </c>
    </row>
    <row r="1212" spans="1:7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tr">
        <f>_xlfn.XLOOKUP(Table3[[#This Row],[Location ]],Table1[Location],Table1[Oracle Location],0,0)</f>
        <v>MONSKID</v>
      </c>
      <c r="F1212" s="3" t="str">
        <f>_xlfn.XLOOKUP(Table3[[#This Row],[Location ]], Table1[Location],Table1[SVG Location],0,0)</f>
        <v>SKID</v>
      </c>
      <c r="G1212" s="3" t="s">
        <v>1615</v>
      </c>
    </row>
    <row r="1213" spans="1:7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tr">
        <f>_xlfn.XLOOKUP(Table3[[#This Row],[Location ]],Table1[Location],Table1[Oracle Location],0,0)</f>
        <v>MONEP</v>
      </c>
      <c r="F1213" s="3" t="str">
        <f>_xlfn.XLOOKUP(Table3[[#This Row],[Location ]], Table1[Location],Table1[SVG Location],0,0)</f>
        <v>EP</v>
      </c>
      <c r="G1213" s="3" t="s">
        <v>1617</v>
      </c>
    </row>
    <row r="1214" spans="1:7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tr">
        <f>_xlfn.XLOOKUP(Table3[[#This Row],[Location ]],Table1[Location],Table1[Oracle Location],0,0)</f>
        <v>MONXDU</v>
      </c>
      <c r="F1214" s="3" t="str">
        <f>_xlfn.XLOOKUP(Table3[[#This Row],[Location ]], Table1[Location],Table1[SVG Location],0,0)</f>
        <v>XDU_1350</v>
      </c>
      <c r="G1214" s="3" t="s">
        <v>1613</v>
      </c>
    </row>
    <row r="1215" spans="1:7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tr">
        <f>_xlfn.XLOOKUP(Table3[[#This Row],[Location ]],Table1[Location],Table1[Oracle Location],0,0)</f>
        <v>MONEP</v>
      </c>
      <c r="F1215" s="3" t="str">
        <f>_xlfn.XLOOKUP(Table3[[#This Row],[Location ]], Table1[Location],Table1[SVG Location],0,0)</f>
        <v>EP</v>
      </c>
      <c r="G1215" s="3" t="s">
        <v>1617</v>
      </c>
    </row>
    <row r="1216" spans="1:7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tr">
        <f>_xlfn.XLOOKUP(Table3[[#This Row],[Location ]],Table1[Location],Table1[Oracle Location],0,0)</f>
        <v>MONDP</v>
      </c>
      <c r="F1216" s="3" t="str">
        <f>_xlfn.XLOOKUP(Table3[[#This Row],[Location ]], Table1[Location],Table1[SVG Location],0,0)</f>
        <v>DH_400</v>
      </c>
      <c r="G1216" s="3" t="s">
        <v>1617</v>
      </c>
    </row>
    <row r="1217" spans="1:7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tr">
        <f>_xlfn.XLOOKUP(Table3[[#This Row],[Location ]],Table1[Location],Table1[Oracle Location],0,0)</f>
        <v>MONKITS</v>
      </c>
      <c r="F1217" s="3" t="str">
        <f>_xlfn.XLOOKUP(Table3[[#This Row],[Location ]], Table1[Location],Table1[SVG Location],0,0)</f>
        <v>Kits</v>
      </c>
      <c r="G1217" s="3" t="s">
        <v>1617</v>
      </c>
    </row>
    <row r="1218" spans="1:7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tr">
        <f>_xlfn.XLOOKUP(Table3[[#This Row],[Location ]],Table1[Location],Table1[Oracle Location],0,0)</f>
        <v>MONDP</v>
      </c>
      <c r="F1218" s="3" t="str">
        <f>_xlfn.XLOOKUP(Table3[[#This Row],[Location ]], Table1[Location],Table1[SVG Location],0,0)</f>
        <v>DH_400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tr">
        <f>_xlfn.XLOOKUP(Table3[[#This Row],[Location ]],Table1[Location],Table1[Oracle Location],0,0)</f>
        <v>SHIP</v>
      </c>
      <c r="F1219" s="3" t="str">
        <f>_xlfn.XLOOKUP(Table3[[#This Row],[Location ]], Table1[Location],Table1[SVG Location],0,0)</f>
        <v>SHIP</v>
      </c>
      <c r="G1219" s="3" t="s">
        <v>1616</v>
      </c>
    </row>
    <row r="1220" spans="1:7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tr">
        <f>_xlfn.XLOOKUP(Table3[[#This Row],[Location ]],Table1[Location],Table1[Oracle Location],0,0)</f>
        <v>MONXDU100</v>
      </c>
      <c r="F1220" s="3" t="str">
        <f>_xlfn.XLOOKUP(Table3[[#This Row],[Location ]], Table1[Location],Table1[SVG Location],0,0)</f>
        <v>XDU_100</v>
      </c>
      <c r="G1220" s="3" t="s">
        <v>1613</v>
      </c>
    </row>
    <row r="1221" spans="1:7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tr">
        <f>_xlfn.XLOOKUP(Table3[[#This Row],[Location ]],Table1[Location],Table1[Oracle Location],0,0)</f>
        <v>MONDP</v>
      </c>
      <c r="F1221" s="3" t="str">
        <f>_xlfn.XLOOKUP(Table3[[#This Row],[Location ]], Table1[Location],Table1[SVG Location],0,0)</f>
        <v>DH_400</v>
      </c>
      <c r="G1221" s="3" t="s">
        <v>1615</v>
      </c>
    </row>
    <row r="1222" spans="1:7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tr">
        <f>_xlfn.XLOOKUP(Table3[[#This Row],[Location ]],Table1[Location],Table1[Oracle Location],0,0)</f>
        <v>MTY 1, MTY1</v>
      </c>
      <c r="F1222" s="3" t="str">
        <f>_xlfn.XLOOKUP(Table3[[#This Row],[Location ]], Table1[Location],Table1[SVG Location],0,0)</f>
        <v>Warehouse</v>
      </c>
      <c r="G1222" s="3" t="s">
        <v>1615</v>
      </c>
    </row>
    <row r="1223" spans="1:7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tr">
        <f>_xlfn.XLOOKUP(Table3[[#This Row],[Location ]],Table1[Location],Table1[Oracle Location],0,0)</f>
        <v>MONDP</v>
      </c>
      <c r="F1223" s="3" t="str">
        <f>_xlfn.XLOOKUP(Table3[[#This Row],[Location ]], Table1[Location],Table1[SVG Location],0,0)</f>
        <v>DH_400</v>
      </c>
      <c r="G1223" s="3" t="s">
        <v>1613</v>
      </c>
    </row>
    <row r="1224" spans="1:7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tr">
        <f>_xlfn.XLOOKUP(Table3[[#This Row],[Location ]],Table1[Location],Table1[Oracle Location],0,0)</f>
        <v>MONXDU</v>
      </c>
      <c r="F1224" s="3" t="str">
        <f>_xlfn.XLOOKUP(Table3[[#This Row],[Location ]], Table1[Location],Table1[SVG Location],0,0)</f>
        <v>XDU_1350</v>
      </c>
      <c r="G1224" s="3" t="s">
        <v>1615</v>
      </c>
    </row>
    <row r="1225" spans="1:7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tr">
        <f>_xlfn.XLOOKUP(Table3[[#This Row],[Location ]],Table1[Location],Table1[Oracle Location],0,0)</f>
        <v>MONXDU</v>
      </c>
      <c r="F1225" s="3" t="str">
        <f>_xlfn.XLOOKUP(Table3[[#This Row],[Location ]], Table1[Location],Table1[SVG Location],0,0)</f>
        <v>XDU_1350</v>
      </c>
      <c r="G1225" s="3" t="s">
        <v>1613</v>
      </c>
    </row>
    <row r="1226" spans="1:7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tr">
        <f>_xlfn.XLOOKUP(Table3[[#This Row],[Location ]],Table1[Location],Table1[Oracle Location],0,0)</f>
        <v>MONDP</v>
      </c>
      <c r="F1226" s="3" t="str">
        <f>_xlfn.XLOOKUP(Table3[[#This Row],[Location ]], Table1[Location],Table1[SVG Location],0,0)</f>
        <v>DH_400</v>
      </c>
      <c r="G1226" s="3" t="s">
        <v>1613</v>
      </c>
    </row>
    <row r="1227" spans="1:7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tr">
        <f>_xlfn.XLOOKUP(Table3[[#This Row],[Location ]],Table1[Location],Table1[Oracle Location],0,0)</f>
        <v>MONCOILS</v>
      </c>
      <c r="F1227" s="3" t="str">
        <f>_xlfn.XLOOKUP(Table3[[#This Row],[Location ]], Table1[Location],Table1[SVG Location],0,0)</f>
        <v>Coils_Shop</v>
      </c>
      <c r="G1227" s="3" t="s">
        <v>1615</v>
      </c>
    </row>
    <row r="1228" spans="1:7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tr">
        <f>_xlfn.XLOOKUP(Table3[[#This Row],[Location ]],Table1[Location],Table1[Oracle Location],0,0)</f>
        <v>MONXDU100</v>
      </c>
      <c r="F1228" s="3" t="str">
        <f>_xlfn.XLOOKUP(Table3[[#This Row],[Location ]], Table1[Location],Table1[SVG Location],0,0)</f>
        <v>XDU_100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tr">
        <f>_xlfn.XLOOKUP(Table3[[#This Row],[Location ]],Table1[Location],Table1[Oracle Location],0,0)</f>
        <v>MONXDU</v>
      </c>
      <c r="F1229" s="3" t="str">
        <f>_xlfn.XLOOKUP(Table3[[#This Row],[Location ]], Table1[Location],Table1[SVG Location],0,0)</f>
        <v>XDU_1350</v>
      </c>
      <c r="G1229" s="3" t="s">
        <v>1616</v>
      </c>
    </row>
    <row r="1230" spans="1:7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tr">
        <f>_xlfn.XLOOKUP(Table3[[#This Row],[Location ]],Table1[Location],Table1[Oracle Location],0,0)</f>
        <v>MONDP</v>
      </c>
      <c r="F1230" s="3" t="str">
        <f>_xlfn.XLOOKUP(Table3[[#This Row],[Location ]], Table1[Location],Table1[SVG Location],0,0)</f>
        <v>DH_400</v>
      </c>
      <c r="G1230" s="3" t="s">
        <v>1615</v>
      </c>
    </row>
    <row r="1231" spans="1:7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tr">
        <f>_xlfn.XLOOKUP(Table3[[#This Row],[Location ]],Table1[Location],Table1[Oracle Location],0,0)</f>
        <v>MONDP</v>
      </c>
      <c r="F1231" s="3" t="str">
        <f>_xlfn.XLOOKUP(Table3[[#This Row],[Location ]], Table1[Location],Table1[SVG Location],0,0)</f>
        <v>DH_400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tr">
        <f>_xlfn.XLOOKUP(Table3[[#This Row],[Location ]],Table1[Location],Table1[Oracle Location],0,0)</f>
        <v>MONCOILS</v>
      </c>
      <c r="F1232" s="3" t="str">
        <f>_xlfn.XLOOKUP(Table3[[#This Row],[Location ]], Table1[Location],Table1[SVG Location],0,0)</f>
        <v>Coils_Shop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tr">
        <f>_xlfn.XLOOKUP(Table3[[#This Row],[Location ]],Table1[Location],Table1[Oracle Location],0,0)</f>
        <v>MONPIPING</v>
      </c>
      <c r="F1233" s="3" t="str">
        <f>_xlfn.XLOOKUP(Table3[[#This Row],[Location ]], Table1[Location],Table1[SVG Location],0,0)</f>
        <v>Piping</v>
      </c>
      <c r="G1233" s="3" t="s">
        <v>1616</v>
      </c>
    </row>
    <row r="1234" spans="1:7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tr">
        <f>_xlfn.XLOOKUP(Table3[[#This Row],[Location ]],Table1[Location],Table1[Oracle Location],0,0)</f>
        <v>MONDP</v>
      </c>
      <c r="F1234" s="3" t="str">
        <f>_xlfn.XLOOKUP(Table3[[#This Row],[Location ]], Table1[Location],Table1[SVG Location],0,0)</f>
        <v>DH_400</v>
      </c>
      <c r="G1234" s="3" t="s">
        <v>1617</v>
      </c>
    </row>
    <row r="1235" spans="1:7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tr">
        <f>_xlfn.XLOOKUP(Table3[[#This Row],[Location ]],Table1[Location],Table1[Oracle Location],0,0)</f>
        <v>MONBLW</v>
      </c>
      <c r="F1235" s="3" t="str">
        <f>_xlfn.XLOOKUP(Table3[[#This Row],[Location ]], Table1[Location],Table1[SVG Location],0,0)</f>
        <v>Blower</v>
      </c>
      <c r="G1235" s="3" t="s">
        <v>1613</v>
      </c>
    </row>
    <row r="1236" spans="1:7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tr">
        <f>_xlfn.XLOOKUP(Table3[[#This Row],[Location ]],Table1[Location],Table1[Oracle Location],0,0)</f>
        <v>MONDA</v>
      </c>
      <c r="F1236" s="3" t="str">
        <f>_xlfn.XLOOKUP(Table3[[#This Row],[Location ]], Table1[Location],Table1[SVG Location],0,0)</f>
        <v>MONDA</v>
      </c>
      <c r="G1236" s="3" t="s">
        <v>1615</v>
      </c>
    </row>
    <row r="1237" spans="1:7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tr">
        <f>_xlfn.XLOOKUP(Table3[[#This Row],[Location ]],Table1[Location],Table1[Oracle Location],0,0)</f>
        <v>MONDP</v>
      </c>
      <c r="F1237" s="3" t="str">
        <f>_xlfn.XLOOKUP(Table3[[#This Row],[Location ]], Table1[Location],Table1[SVG Location],0,0)</f>
        <v>DH_400</v>
      </c>
      <c r="G1237" s="3" t="s">
        <v>1615</v>
      </c>
    </row>
    <row r="1238" spans="1:7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tr">
        <f>_xlfn.XLOOKUP(Table3[[#This Row],[Location ]],Table1[Location],Table1[Oracle Location],0,0)</f>
        <v>MONEP</v>
      </c>
      <c r="F1238" s="3" t="str">
        <f>_xlfn.XLOOKUP(Table3[[#This Row],[Location ]], Table1[Location],Table1[SVG Location],0,0)</f>
        <v>EP</v>
      </c>
      <c r="G1238" s="3" t="s">
        <v>1617</v>
      </c>
    </row>
    <row r="1239" spans="1:7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tr">
        <f>_xlfn.XLOOKUP(Table3[[#This Row],[Location ]],Table1[Location],Table1[Oracle Location],0,0)</f>
        <v>MONDP</v>
      </c>
      <c r="F1239" s="3" t="str">
        <f>_xlfn.XLOOKUP(Table3[[#This Row],[Location ]], Table1[Location],Table1[SVG Location],0,0)</f>
        <v>DH_400</v>
      </c>
      <c r="G1239" s="3" t="s">
        <v>1617</v>
      </c>
    </row>
    <row r="1240" spans="1:7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tr">
        <f>_xlfn.XLOOKUP(Table3[[#This Row],[Location ]],Table1[Location],Table1[Oracle Location],0,0)</f>
        <v>MONXDU100</v>
      </c>
      <c r="F1240" s="3" t="str">
        <f>_xlfn.XLOOKUP(Table3[[#This Row],[Location ]], Table1[Location],Table1[SVG Location],0,0)</f>
        <v>XDU_100</v>
      </c>
      <c r="G1240" s="3" t="s">
        <v>1613</v>
      </c>
    </row>
    <row r="1241" spans="1:7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tr">
        <f>_xlfn.XLOOKUP(Table3[[#This Row],[Location ]],Table1[Location],Table1[Oracle Location],0,0)</f>
        <v>MONEP</v>
      </c>
      <c r="F1241" s="3" t="str">
        <f>_xlfn.XLOOKUP(Table3[[#This Row],[Location ]], Table1[Location],Table1[SVG Location],0,0)</f>
        <v>EP</v>
      </c>
      <c r="G1241" s="3" t="s">
        <v>1615</v>
      </c>
    </row>
    <row r="1242" spans="1:7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tr">
        <f>_xlfn.XLOOKUP(Table3[[#This Row],[Location ]],Table1[Location],Table1[Oracle Location],0,0)</f>
        <v>MONMC</v>
      </c>
      <c r="F1242" s="3" t="str">
        <f>_xlfn.XLOOKUP(Table3[[#This Row],[Location ]], Table1[Location],Table1[SVG Location],0,0)</f>
        <v>MC</v>
      </c>
      <c r="G1242" s="3" t="s">
        <v>1617</v>
      </c>
    </row>
    <row r="1243" spans="1:7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tr">
        <f>_xlfn.XLOOKUP(Table3[[#This Row],[Location ]],Table1[Location],Table1[Oracle Location],0,0)</f>
        <v>MONDP</v>
      </c>
      <c r="F1243" s="3" t="str">
        <f>_xlfn.XLOOKUP(Table3[[#This Row],[Location ]], Table1[Location],Table1[SVG Location],0,0)</f>
        <v>DH_400</v>
      </c>
      <c r="G1243" s="3" t="s">
        <v>1615</v>
      </c>
    </row>
    <row r="1244" spans="1:7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tr">
        <f>_xlfn.XLOOKUP(Table3[[#This Row],[Location ]],Table1[Location],Table1[Oracle Location],0,0)</f>
        <v>MONSM</v>
      </c>
      <c r="F1244" s="3" t="str">
        <f>_xlfn.XLOOKUP(Table3[[#This Row],[Location ]], Table1[Location],Table1[SVG Location],0,0)</f>
        <v>Sheet_Metal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tr">
        <f>_xlfn.XLOOKUP(Table3[[#This Row],[Location ]],Table1[Location],Table1[Oracle Location],0,0)</f>
        <v>MONDP</v>
      </c>
      <c r="F1245" s="3" t="str">
        <f>_xlfn.XLOOKUP(Table3[[#This Row],[Location ]], Table1[Location],Table1[SVG Location],0,0)</f>
        <v>DH_400</v>
      </c>
      <c r="G1245" s="3" t="s">
        <v>1616</v>
      </c>
    </row>
    <row r="1246" spans="1:7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tr">
        <f>_xlfn.XLOOKUP(Table3[[#This Row],[Location ]],Table1[Location],Table1[Oracle Location],0,0)</f>
        <v>MONXDU</v>
      </c>
      <c r="F1246" s="3" t="str">
        <f>_xlfn.XLOOKUP(Table3[[#This Row],[Location ]], Table1[Location],Table1[SVG Location],0,0)</f>
        <v>XDU_1350</v>
      </c>
      <c r="G1246" s="3" t="s">
        <v>1613</v>
      </c>
    </row>
    <row r="1247" spans="1:7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tr">
        <f>_xlfn.XLOOKUP(Table3[[#This Row],[Location ]],Table1[Location],Table1[Oracle Location],0,0)</f>
        <v>MONDP</v>
      </c>
      <c r="F1247" s="3" t="str">
        <f>_xlfn.XLOOKUP(Table3[[#This Row],[Location ]], Table1[Location],Table1[SVG Location],0,0)</f>
        <v>DH_400</v>
      </c>
      <c r="G1247" s="3" t="s">
        <v>1613</v>
      </c>
    </row>
    <row r="1248" spans="1:7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tr">
        <f>_xlfn.XLOOKUP(Table3[[#This Row],[Location ]],Table1[Location],Table1[Oracle Location],0,0)</f>
        <v>MONDP</v>
      </c>
      <c r="F1248" s="3" t="str">
        <f>_xlfn.XLOOKUP(Table3[[#This Row],[Location ]], Table1[Location],Table1[SVG Location],0,0)</f>
        <v>DH_400</v>
      </c>
      <c r="G1248" s="3" t="s">
        <v>1617</v>
      </c>
    </row>
    <row r="1249" spans="1:7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tr">
        <f>_xlfn.XLOOKUP(Table3[[#This Row],[Location ]],Table1[Location],Table1[Oracle Location],0,0)</f>
        <v>MONCOILS</v>
      </c>
      <c r="F1249" s="3" t="str">
        <f>_xlfn.XLOOKUP(Table3[[#This Row],[Location ]], Table1[Location],Table1[SVG Location],0,0)</f>
        <v>Coils_Shop</v>
      </c>
      <c r="G1249" s="3" t="s">
        <v>1613</v>
      </c>
    </row>
    <row r="1250" spans="1:7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tr">
        <f>_xlfn.XLOOKUP(Table3[[#This Row],[Location ]],Table1[Location],Table1[Oracle Location],0,0)</f>
        <v>MONMC</v>
      </c>
      <c r="F1250" s="3" t="str">
        <f>_xlfn.XLOOKUP(Table3[[#This Row],[Location ]], Table1[Location],Table1[SVG Location],0,0)</f>
        <v>MC</v>
      </c>
      <c r="G1250" s="3" t="s">
        <v>1615</v>
      </c>
    </row>
    <row r="1251" spans="1:7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tr">
        <f>_xlfn.XLOOKUP(Table3[[#This Row],[Location ]],Table1[Location],Table1[Oracle Location],0,0)</f>
        <v>MTY 1, MTY1</v>
      </c>
      <c r="F1251" s="3" t="str">
        <f>_xlfn.XLOOKUP(Table3[[#This Row],[Location ]], Table1[Location],Table1[SVG Location],0,0)</f>
        <v>Warehouse</v>
      </c>
      <c r="G1251" s="3" t="s">
        <v>1613</v>
      </c>
    </row>
    <row r="1252" spans="1:7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tr">
        <f>_xlfn.XLOOKUP(Table3[[#This Row],[Location ]],Table1[Location],Table1[Oracle Location],0,0)</f>
        <v>MONEP</v>
      </c>
      <c r="F1252" s="3" t="str">
        <f>_xlfn.XLOOKUP(Table3[[#This Row],[Location ]], Table1[Location],Table1[SVG Location],0,0)</f>
        <v>EP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tr">
        <f>_xlfn.XLOOKUP(Table3[[#This Row],[Location ]],Table1[Location],Table1[Oracle Location],0,0)</f>
        <v>MONMC</v>
      </c>
      <c r="F1253" s="3" t="str">
        <f>_xlfn.XLOOKUP(Table3[[#This Row],[Location ]], Table1[Location],Table1[SVG Location],0,0)</f>
        <v>MC</v>
      </c>
      <c r="G1253" s="3" t="s">
        <v>1614</v>
      </c>
    </row>
    <row r="1254" spans="1:7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tr">
        <f>_xlfn.XLOOKUP(Table3[[#This Row],[Location ]],Table1[Location],Table1[Oracle Location],0,0)</f>
        <v>MONXDU</v>
      </c>
      <c r="F1254" s="3" t="str">
        <f>_xlfn.XLOOKUP(Table3[[#This Row],[Location ]], Table1[Location],Table1[SVG Location],0,0)</f>
        <v>XDU_1350</v>
      </c>
      <c r="G1254" s="3" t="s">
        <v>1615</v>
      </c>
    </row>
    <row r="1255" spans="1:7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tr">
        <f>_xlfn.XLOOKUP(Table3[[#This Row],[Location ]],Table1[Location],Table1[Oracle Location],0,0)</f>
        <v>MTY 1, MTY1</v>
      </c>
      <c r="F1255" s="3" t="str">
        <f>_xlfn.XLOOKUP(Table3[[#This Row],[Location ]], Table1[Location],Table1[SVG Location],0,0)</f>
        <v>Warehouse</v>
      </c>
      <c r="G1255" s="3" t="s">
        <v>1615</v>
      </c>
    </row>
    <row r="1256" spans="1:7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tr">
        <f>_xlfn.XLOOKUP(Table3[[#This Row],[Location ]],Table1[Location],Table1[Oracle Location],0,0)</f>
        <v>MONXDU</v>
      </c>
      <c r="F1256" s="3" t="str">
        <f>_xlfn.XLOOKUP(Table3[[#This Row],[Location ]], Table1[Location],Table1[SVG Location],0,0)</f>
        <v>XDU_1350</v>
      </c>
      <c r="G1256" s="3" t="s">
        <v>1613</v>
      </c>
    </row>
    <row r="1257" spans="1:7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tr">
        <f>_xlfn.XLOOKUP(Table3[[#This Row],[Location ]],Table1[Location],Table1[Oracle Location],0,0)</f>
        <v>MONXDU</v>
      </c>
      <c r="F1257" s="3" t="str">
        <f>_xlfn.XLOOKUP(Table3[[#This Row],[Location ]], Table1[Location],Table1[SVG Location],0,0)</f>
        <v>XDU_1350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tr">
        <f>_xlfn.XLOOKUP(Table3[[#This Row],[Location ]],Table1[Location],Table1[Oracle Location],0,0)</f>
        <v>MONDP</v>
      </c>
      <c r="F1258" s="3" t="str">
        <f>_xlfn.XLOOKUP(Table3[[#This Row],[Location ]], Table1[Location],Table1[SVG Location],0,0)</f>
        <v>DH_400</v>
      </c>
      <c r="G1258" s="3" t="s">
        <v>1616</v>
      </c>
    </row>
    <row r="1259" spans="1:7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tr">
        <f>_xlfn.XLOOKUP(Table3[[#This Row],[Location ]],Table1[Location],Table1[Oracle Location],0,0)</f>
        <v>MONMC</v>
      </c>
      <c r="F1259" s="3" t="str">
        <f>_xlfn.XLOOKUP(Table3[[#This Row],[Location ]], Table1[Location],Table1[SVG Location],0,0)</f>
        <v>MC</v>
      </c>
      <c r="G1259" s="3" t="s">
        <v>1617</v>
      </c>
    </row>
    <row r="1260" spans="1:7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tr">
        <f>_xlfn.XLOOKUP(Table3[[#This Row],[Location ]],Table1[Location],Table1[Oracle Location],0,0)</f>
        <v>MONXDU</v>
      </c>
      <c r="F1260" s="3" t="str">
        <f>_xlfn.XLOOKUP(Table3[[#This Row],[Location ]], Table1[Location],Table1[SVG Location],0,0)</f>
        <v>XDU_1350</v>
      </c>
      <c r="G1260" s="3" t="s">
        <v>1613</v>
      </c>
    </row>
    <row r="1261" spans="1:7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tr">
        <f>_xlfn.XLOOKUP(Table3[[#This Row],[Location ]],Table1[Location],Table1[Oracle Location],0,0)</f>
        <v>MONXDM</v>
      </c>
      <c r="F1261" s="3" t="str">
        <f>_xlfn.XLOOKUP(Table3[[#This Row],[Location ]], Table1[Location],Table1[SVG Location],0,0)</f>
        <v>XDM</v>
      </c>
      <c r="G1261" s="3" t="s">
        <v>1615</v>
      </c>
    </row>
    <row r="1262" spans="1:7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tr">
        <f>_xlfn.XLOOKUP(Table3[[#This Row],[Location ]],Table1[Location],Table1[Oracle Location],0,0)</f>
        <v>MONDP</v>
      </c>
      <c r="F1262" s="3" t="str">
        <f>_xlfn.XLOOKUP(Table3[[#This Row],[Location ]], Table1[Location],Table1[SVG Location],0,0)</f>
        <v>DH_400</v>
      </c>
      <c r="G1262" s="3" t="s">
        <v>1617</v>
      </c>
    </row>
    <row r="1263" spans="1:7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tr">
        <f>_xlfn.XLOOKUP(Table3[[#This Row],[Location ]],Table1[Location],Table1[Oracle Location],0,0)</f>
        <v>MTY 1, MTY1</v>
      </c>
      <c r="F1263" s="3" t="str">
        <f>_xlfn.XLOOKUP(Table3[[#This Row],[Location ]], Table1[Location],Table1[SVG Location],0,0)</f>
        <v>Warehouse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tr">
        <f>_xlfn.XLOOKUP(Table3[[#This Row],[Location ]],Table1[Location],Table1[Oracle Location],0,0)</f>
        <v>MONCR</v>
      </c>
      <c r="F1264" s="3" t="str">
        <f>_xlfn.XLOOKUP(Table3[[#This Row],[Location ]], Table1[Location],Table1[SVG Location],0,0)</f>
        <v>CR</v>
      </c>
      <c r="G1264" s="3" t="s">
        <v>1614</v>
      </c>
    </row>
    <row r="1265" spans="1:7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tr">
        <f>_xlfn.XLOOKUP(Table3[[#This Row],[Location ]],Table1[Location],Table1[Oracle Location],0,0)</f>
        <v>MONDP</v>
      </c>
      <c r="F1265" s="3" t="str">
        <f>_xlfn.XLOOKUP(Table3[[#This Row],[Location ]], Table1[Location],Table1[SVG Location],0,0)</f>
        <v>DH_400</v>
      </c>
      <c r="G1265" s="3" t="s">
        <v>1617</v>
      </c>
    </row>
    <row r="1266" spans="1:7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tr">
        <f>_xlfn.XLOOKUP(Table3[[#This Row],[Location ]],Table1[Location],Table1[Oracle Location],0,0)</f>
        <v>MONDP</v>
      </c>
      <c r="F1266" s="3" t="str">
        <f>_xlfn.XLOOKUP(Table3[[#This Row],[Location ]], Table1[Location],Table1[SVG Location],0,0)</f>
        <v>DH_400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tr">
        <f>_xlfn.XLOOKUP(Table3[[#This Row],[Location ]],Table1[Location],Table1[Oracle Location],0,0)</f>
        <v>MTY 1, MTY1</v>
      </c>
      <c r="F1267" s="3" t="str">
        <f>_xlfn.XLOOKUP(Table3[[#This Row],[Location ]], Table1[Location],Table1[SVG Location],0,0)</f>
        <v>Warehouse</v>
      </c>
      <c r="G1267" s="3" t="s">
        <v>1616</v>
      </c>
    </row>
    <row r="1268" spans="1:7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tr">
        <f>_xlfn.XLOOKUP(Table3[[#This Row],[Location ]],Table1[Location],Table1[Oracle Location],0,0)</f>
        <v>MONDP</v>
      </c>
      <c r="F1268" s="3" t="str">
        <f>_xlfn.XLOOKUP(Table3[[#This Row],[Location ]], Table1[Location],Table1[SVG Location],0,0)</f>
        <v>DH_400</v>
      </c>
      <c r="G1268" s="3" t="s">
        <v>1615</v>
      </c>
    </row>
    <row r="1269" spans="1:7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tr">
        <f>_xlfn.XLOOKUP(Table3[[#This Row],[Location ]],Table1[Location],Table1[Oracle Location],0,0)</f>
        <v>MONPIPING</v>
      </c>
      <c r="F1269" s="3" t="str">
        <f>_xlfn.XLOOKUP(Table3[[#This Row],[Location ]], Table1[Location],Table1[SVG Location],0,0)</f>
        <v>Piping</v>
      </c>
      <c r="G1269" s="3" t="s">
        <v>1617</v>
      </c>
    </row>
    <row r="1270" spans="1:7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tr">
        <f>_xlfn.XLOOKUP(Table3[[#This Row],[Location ]],Table1[Location],Table1[Oracle Location],0,0)</f>
        <v>MONCOILS</v>
      </c>
      <c r="F1270" s="3" t="str">
        <f>_xlfn.XLOOKUP(Table3[[#This Row],[Location ]], Table1[Location],Table1[SVG Location],0,0)</f>
        <v>Coils_Shop</v>
      </c>
      <c r="G1270" s="3" t="s">
        <v>1613</v>
      </c>
    </row>
    <row r="1271" spans="1:7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tr">
        <f>_xlfn.XLOOKUP(Table3[[#This Row],[Location ]],Table1[Location],Table1[Oracle Location],0,0)</f>
        <v>MONDP</v>
      </c>
      <c r="F1271" s="3" t="str">
        <f>_xlfn.XLOOKUP(Table3[[#This Row],[Location ]], Table1[Location],Table1[SVG Location],0,0)</f>
        <v>DH_400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tr">
        <f>_xlfn.XLOOKUP(Table3[[#This Row],[Location ]],Table1[Location],Table1[Oracle Location],0,0)</f>
        <v>MONPIPING</v>
      </c>
      <c r="F1272" s="3" t="str">
        <f>_xlfn.XLOOKUP(Table3[[#This Row],[Location ]], Table1[Location],Table1[SVG Location],0,0)</f>
        <v>Piping</v>
      </c>
      <c r="G1272" s="3" t="s">
        <v>1614</v>
      </c>
    </row>
    <row r="1273" spans="1:7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tr">
        <f>_xlfn.XLOOKUP(Table3[[#This Row],[Location ]],Table1[Location],Table1[Oracle Location],0,0)</f>
        <v>MONMC</v>
      </c>
      <c r="F1273" s="3" t="str">
        <f>_xlfn.XLOOKUP(Table3[[#This Row],[Location ]], Table1[Location],Table1[SVG Location],0,0)</f>
        <v>MC</v>
      </c>
      <c r="G1273" s="3" t="s">
        <v>1617</v>
      </c>
    </row>
    <row r="1274" spans="1:7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tr">
        <f>_xlfn.XLOOKUP(Table3[[#This Row],[Location ]],Table1[Location],Table1[Oracle Location],0,0)</f>
        <v>MONPIPING</v>
      </c>
      <c r="F1274" s="3" t="str">
        <f>_xlfn.XLOOKUP(Table3[[#This Row],[Location ]], Table1[Location],Table1[SVG Location],0,0)</f>
        <v>Piping</v>
      </c>
      <c r="G1274" s="3" t="s">
        <v>1617</v>
      </c>
    </row>
    <row r="1275" spans="1:7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tr">
        <f>_xlfn.XLOOKUP(Table3[[#This Row],[Location ]],Table1[Location],Table1[Oracle Location],0,0)</f>
        <v>MONDP</v>
      </c>
      <c r="F1275" s="3" t="str">
        <f>_xlfn.XLOOKUP(Table3[[#This Row],[Location ]], Table1[Location],Table1[SVG Location],0,0)</f>
        <v>DH_400</v>
      </c>
      <c r="G1275" s="3" t="s">
        <v>1613</v>
      </c>
    </row>
    <row r="1276" spans="1:7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tr">
        <f>_xlfn.XLOOKUP(Table3[[#This Row],[Location ]],Table1[Location],Table1[Oracle Location],0,0)</f>
        <v>MTY 1, MTY1</v>
      </c>
      <c r="F1276" s="3" t="str">
        <f>_xlfn.XLOOKUP(Table3[[#This Row],[Location ]], Table1[Location],Table1[SVG Location],0,0)</f>
        <v>Warehouse</v>
      </c>
      <c r="G1276" s="3" t="s">
        <v>1615</v>
      </c>
    </row>
    <row r="1277" spans="1:7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tr">
        <f>_xlfn.XLOOKUP(Table3[[#This Row],[Location ]],Table1[Location],Table1[Oracle Location],0,0)</f>
        <v>MONMC</v>
      </c>
      <c r="F1277" s="3" t="str">
        <f>_xlfn.XLOOKUP(Table3[[#This Row],[Location ]], Table1[Location],Table1[SVG Location],0,0)</f>
        <v>MC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tr">
        <f>_xlfn.XLOOKUP(Table3[[#This Row],[Location ]],Table1[Location],Table1[Oracle Location],0,0)</f>
        <v>MONDP</v>
      </c>
      <c r="F1278" s="3" t="str">
        <f>_xlfn.XLOOKUP(Table3[[#This Row],[Location ]], Table1[Location],Table1[SVG Location],0,0)</f>
        <v>DH_400</v>
      </c>
      <c r="G1278" s="3" t="s">
        <v>1614</v>
      </c>
    </row>
    <row r="1279" spans="1:7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tr">
        <f>_xlfn.XLOOKUP(Table3[[#This Row],[Location ]],Table1[Location],Table1[Oracle Location],0,0)</f>
        <v>MTY 1, MTY1</v>
      </c>
      <c r="F1279" s="3" t="str">
        <f>_xlfn.XLOOKUP(Table3[[#This Row],[Location ]], Table1[Location],Table1[SVG Location],0,0)</f>
        <v>Warehouse</v>
      </c>
      <c r="G1279" s="3" t="s">
        <v>1615</v>
      </c>
    </row>
    <row r="1280" spans="1:7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tr">
        <f>_xlfn.XLOOKUP(Table3[[#This Row],[Location ]],Table1[Location],Table1[Oracle Location],0,0)</f>
        <v>MONXDM</v>
      </c>
      <c r="F1280" s="3" t="str">
        <f>_xlfn.XLOOKUP(Table3[[#This Row],[Location ]], Table1[Location],Table1[SVG Location],0,0)</f>
        <v>XDM</v>
      </c>
      <c r="G1280" s="3" t="s">
        <v>1613</v>
      </c>
    </row>
    <row r="1281" spans="1:7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tr">
        <f>_xlfn.XLOOKUP(Table3[[#This Row],[Location ]],Table1[Location],Table1[Oracle Location],0,0)</f>
        <v>MONBLW</v>
      </c>
      <c r="F1281" s="3" t="str">
        <f>_xlfn.XLOOKUP(Table3[[#This Row],[Location ]], Table1[Location],Table1[SVG Location],0,0)</f>
        <v>Blower</v>
      </c>
      <c r="G1281" s="3" t="s">
        <v>1617</v>
      </c>
    </row>
    <row r="1282" spans="1:7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tr">
        <f>_xlfn.XLOOKUP(Table3[[#This Row],[Location ]],Table1[Location],Table1[Oracle Location],0,0)</f>
        <v>MTY 1, MTY1</v>
      </c>
      <c r="F1282" s="3" t="str">
        <f>_xlfn.XLOOKUP(Table3[[#This Row],[Location ]], Table1[Location],Table1[SVG Location],0,0)</f>
        <v>Warehouse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tr">
        <f>_xlfn.XLOOKUP(Table3[[#This Row],[Location ]],Table1[Location],Table1[Oracle Location],0,0)</f>
        <v>ALL</v>
      </c>
      <c r="F1283" s="3" t="str">
        <f>_xlfn.XLOOKUP(Table3[[#This Row],[Location ]], Table1[Location],Table1[SVG Location],0,0)</f>
        <v>ALL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tr">
        <f>_xlfn.XLOOKUP(Table3[[#This Row],[Location ]],Table1[Location],Table1[Oracle Location],0,0)</f>
        <v>MONDP</v>
      </c>
      <c r="F1284" s="3" t="str">
        <f>_xlfn.XLOOKUP(Table3[[#This Row],[Location ]], Table1[Location],Table1[SVG Location],0,0)</f>
        <v>DH_400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tr">
        <f>_xlfn.XLOOKUP(Table3[[#This Row],[Location ]],Table1[Location],Table1[Oracle Location],0,0)</f>
        <v>MONPRE</v>
      </c>
      <c r="F1285" s="3" t="str">
        <f>_xlfn.XLOOKUP(Table3[[#This Row],[Location ]], Table1[Location],Table1[SVG Location],0,0)</f>
        <v>PRE_L1</v>
      </c>
      <c r="G1285" s="3" t="s">
        <v>1614</v>
      </c>
    </row>
    <row r="1286" spans="1:7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tr">
        <f>_xlfn.XLOOKUP(Table3[[#This Row],[Location ]],Table1[Location],Table1[Oracle Location],0,0)</f>
        <v>MTY 1, MTY1</v>
      </c>
      <c r="F1286" s="3" t="str">
        <f>_xlfn.XLOOKUP(Table3[[#This Row],[Location ]], Table1[Location],Table1[SVG Location],0,0)</f>
        <v>Warehouse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tr">
        <f>_xlfn.XLOOKUP(Table3[[#This Row],[Location ]],Table1[Location],Table1[Oracle Location],0,0)</f>
        <v>MTY3</v>
      </c>
      <c r="F1287" s="3" t="str">
        <f>_xlfn.XLOOKUP(Table3[[#This Row],[Location ]], Table1[Location],Table1[SVG Location],0,0)</f>
        <v>MTY3</v>
      </c>
      <c r="G1287" s="3" t="s">
        <v>1616</v>
      </c>
    </row>
    <row r="1288" spans="1:7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tr">
        <f>_xlfn.XLOOKUP(Table3[[#This Row],[Location ]],Table1[Location],Table1[Oracle Location],0,0)</f>
        <v>MONXDU100</v>
      </c>
      <c r="F1288" s="3" t="str">
        <f>_xlfn.XLOOKUP(Table3[[#This Row],[Location ]], Table1[Location],Table1[SVG Location],0,0)</f>
        <v>XDU_100</v>
      </c>
      <c r="G1288" s="3" t="s">
        <v>1613</v>
      </c>
    </row>
    <row r="1289" spans="1:7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tr">
        <f>_xlfn.XLOOKUP(Table3[[#This Row],[Location ]],Table1[Location],Table1[Oracle Location],0,0)</f>
        <v>MONEP</v>
      </c>
      <c r="F1289" s="3" t="str">
        <f>_xlfn.XLOOKUP(Table3[[#This Row],[Location ]], Table1[Location],Table1[SVG Location],0,0)</f>
        <v>EP</v>
      </c>
      <c r="G1289" s="3" t="s">
        <v>1613</v>
      </c>
    </row>
    <row r="1290" spans="1:7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tr">
        <f>_xlfn.XLOOKUP(Table3[[#This Row],[Location ]],Table1[Location],Table1[Oracle Location],0,0)</f>
        <v>MTY 1, MTY1</v>
      </c>
      <c r="F1290" s="3" t="str">
        <f>_xlfn.XLOOKUP(Table3[[#This Row],[Location ]], Table1[Location],Table1[SVG Location],0,0)</f>
        <v>Warehouse</v>
      </c>
      <c r="G1290" s="3" t="s">
        <v>1615</v>
      </c>
    </row>
    <row r="1291" spans="1:7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tr">
        <f>_xlfn.XLOOKUP(Table3[[#This Row],[Location ]],Table1[Location],Table1[Oracle Location],0,0)</f>
        <v>MONXDU100</v>
      </c>
      <c r="F1291" s="3" t="str">
        <f>_xlfn.XLOOKUP(Table3[[#This Row],[Location ]], Table1[Location],Table1[SVG Location],0,0)</f>
        <v>XDU_100</v>
      </c>
      <c r="G1291" s="3" t="s">
        <v>1617</v>
      </c>
    </row>
    <row r="1292" spans="1:7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tr">
        <f>_xlfn.XLOOKUP(Table3[[#This Row],[Location ]],Table1[Location],Table1[Oracle Location],0,0)</f>
        <v>MONDP</v>
      </c>
      <c r="F1292" s="3" t="str">
        <f>_xlfn.XLOOKUP(Table3[[#This Row],[Location ]], Table1[Location],Table1[SVG Location],0,0)</f>
        <v>DH_400</v>
      </c>
      <c r="G1292" s="3" t="s">
        <v>1615</v>
      </c>
    </row>
    <row r="1293" spans="1:7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tr">
        <f>_xlfn.XLOOKUP(Table3[[#This Row],[Location ]],Table1[Location],Table1[Oracle Location],0,0)</f>
        <v>MONXDU</v>
      </c>
      <c r="F1293" s="3" t="str">
        <f>_xlfn.XLOOKUP(Table3[[#This Row],[Location ]], Table1[Location],Table1[SVG Location],0,0)</f>
        <v>XDU_1350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tr">
        <f>_xlfn.XLOOKUP(Table3[[#This Row],[Location ]],Table1[Location],Table1[Oracle Location],0,0)</f>
        <v>MONEP</v>
      </c>
      <c r="F1294" s="3" t="str">
        <f>_xlfn.XLOOKUP(Table3[[#This Row],[Location ]], Table1[Location],Table1[SVG Location],0,0)</f>
        <v>EP</v>
      </c>
      <c r="G1294" s="3" t="s">
        <v>1616</v>
      </c>
    </row>
    <row r="1295" spans="1:7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tr">
        <f>_xlfn.XLOOKUP(Table3[[#This Row],[Location ]],Table1[Location],Table1[Oracle Location],0,0)</f>
        <v>MONXDU</v>
      </c>
      <c r="F1295" s="3" t="str">
        <f>_xlfn.XLOOKUP(Table3[[#This Row],[Location ]], Table1[Location],Table1[SVG Location],0,0)</f>
        <v>XDU_1350</v>
      </c>
      <c r="G1295" s="3" t="s">
        <v>1613</v>
      </c>
    </row>
    <row r="1296" spans="1:7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tr">
        <f>_xlfn.XLOOKUP(Table3[[#This Row],[Location ]],Table1[Location],Table1[Oracle Location],0,0)</f>
        <v>MONCR</v>
      </c>
      <c r="F1296" s="3" t="str">
        <f>_xlfn.XLOOKUP(Table3[[#This Row],[Location ]], Table1[Location],Table1[SVG Location],0,0)</f>
        <v>CR</v>
      </c>
      <c r="G1296" s="3" t="s">
        <v>1617</v>
      </c>
    </row>
    <row r="1297" spans="1:7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tr">
        <f>_xlfn.XLOOKUP(Table3[[#This Row],[Location ]],Table1[Location],Table1[Oracle Location],0,0)</f>
        <v>MONXDU</v>
      </c>
      <c r="F1297" s="3" t="str">
        <f>_xlfn.XLOOKUP(Table3[[#This Row],[Location ]], Table1[Location],Table1[SVG Location],0,0)</f>
        <v>XDU_1350</v>
      </c>
      <c r="G1297" s="3" t="s">
        <v>1615</v>
      </c>
    </row>
    <row r="1298" spans="1:7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tr">
        <f>_xlfn.XLOOKUP(Table3[[#This Row],[Location ]],Table1[Location],Table1[Oracle Location],0,0)</f>
        <v>MONDP</v>
      </c>
      <c r="F1298" s="3" t="str">
        <f>_xlfn.XLOOKUP(Table3[[#This Row],[Location ]], Table1[Location],Table1[SVG Location],0,0)</f>
        <v>DH_400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tr">
        <f>_xlfn.XLOOKUP(Table3[[#This Row],[Location ]],Table1[Location],Table1[Oracle Location],0,0)</f>
        <v>MONMC</v>
      </c>
      <c r="F1299" s="3" t="str">
        <f>_xlfn.XLOOKUP(Table3[[#This Row],[Location ]], Table1[Location],Table1[SVG Location],0,0)</f>
        <v>MC</v>
      </c>
      <c r="G1299" s="3" t="s">
        <v>1616</v>
      </c>
    </row>
    <row r="1300" spans="1:7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tr">
        <f>_xlfn.XLOOKUP(Table3[[#This Row],[Location ]],Table1[Location],Table1[Oracle Location],0,0)</f>
        <v>MONXDU</v>
      </c>
      <c r="F1300" s="3" t="str">
        <f>_xlfn.XLOOKUP(Table3[[#This Row],[Location ]], Table1[Location],Table1[SVG Location],0,0)</f>
        <v>XDU_1350</v>
      </c>
      <c r="G1300" s="3" t="s">
        <v>1613</v>
      </c>
    </row>
    <row r="1301" spans="1:7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tr">
        <f>_xlfn.XLOOKUP(Table3[[#This Row],[Location ]],Table1[Location],Table1[Oracle Location],0,0)</f>
        <v>MONDA</v>
      </c>
      <c r="F1301" s="3" t="str">
        <f>_xlfn.XLOOKUP(Table3[[#This Row],[Location ]], Table1[Location],Table1[SVG Location],0,0)</f>
        <v>MONDA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tr">
        <f>_xlfn.XLOOKUP(Table3[[#This Row],[Location ]],Table1[Location],Table1[Oracle Location],0,0)</f>
        <v>ALL</v>
      </c>
      <c r="F1302" s="3" t="str">
        <f>_xlfn.XLOOKUP(Table3[[#This Row],[Location ]], Table1[Location],Table1[SVG Location],0,0)</f>
        <v>ALL</v>
      </c>
      <c r="G1302" s="3">
        <v>0</v>
      </c>
    </row>
    <row r="1303" spans="1:7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tr">
        <f>_xlfn.XLOOKUP(Table3[[#This Row],[Location ]],Table1[Location],Table1[Oracle Location],0,0)</f>
        <v>MONEP</v>
      </c>
      <c r="F1303" s="3" t="str">
        <f>_xlfn.XLOOKUP(Table3[[#This Row],[Location ]], Table1[Location],Table1[SVG Location],0,0)</f>
        <v>EP</v>
      </c>
      <c r="G1303" s="3" t="s">
        <v>1613</v>
      </c>
    </row>
    <row r="1304" spans="1:7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tr">
        <f>_xlfn.XLOOKUP(Table3[[#This Row],[Location ]],Table1[Location],Table1[Oracle Location],0,0)</f>
        <v>MONBLW</v>
      </c>
      <c r="F1304" s="3" t="str">
        <f>_xlfn.XLOOKUP(Table3[[#This Row],[Location ]], Table1[Location],Table1[SVG Location],0,0)</f>
        <v>Blower</v>
      </c>
      <c r="G1304" s="3" t="s">
        <v>1613</v>
      </c>
    </row>
    <row r="1305" spans="1:7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tr">
        <f>_xlfn.XLOOKUP(Table3[[#This Row],[Location ]],Table1[Location],Table1[Oracle Location],0,0)</f>
        <v>MONDP</v>
      </c>
      <c r="F1305" s="3" t="str">
        <f>_xlfn.XLOOKUP(Table3[[#This Row],[Location ]], Table1[Location],Table1[SVG Location],0,0)</f>
        <v>DH_400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tr">
        <f>_xlfn.XLOOKUP(Table3[[#This Row],[Location ]],Table1[Location],Table1[Oracle Location],0,0)</f>
        <v>MTY3</v>
      </c>
      <c r="F1306" s="3" t="str">
        <f>_xlfn.XLOOKUP(Table3[[#This Row],[Location ]], Table1[Location],Table1[SVG Location],0,0)</f>
        <v>MTY3</v>
      </c>
      <c r="G1306" s="3" t="s">
        <v>1616</v>
      </c>
    </row>
    <row r="1307" spans="1:7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tr">
        <f>_xlfn.XLOOKUP(Table3[[#This Row],[Location ]],Table1[Location],Table1[Oracle Location],0,0)</f>
        <v>MONBLW</v>
      </c>
      <c r="F1307" s="3" t="str">
        <f>_xlfn.XLOOKUP(Table3[[#This Row],[Location ]], Table1[Location],Table1[SVG Location],0,0)</f>
        <v>Blower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tr">
        <f>_xlfn.XLOOKUP(Table3[[#This Row],[Location ]],Table1[Location],Table1[Oracle Location],0,0)</f>
        <v>MTY3</v>
      </c>
      <c r="F1308" s="3" t="str">
        <f>_xlfn.XLOOKUP(Table3[[#This Row],[Location ]], Table1[Location],Table1[SVG Location],0,0)</f>
        <v>MTY3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tr">
        <f>_xlfn.XLOOKUP(Table3[[#This Row],[Location ]],Table1[Location],Table1[Oracle Location],0,0)</f>
        <v>MONXDM</v>
      </c>
      <c r="F1309" s="3" t="str">
        <f>_xlfn.XLOOKUP(Table3[[#This Row],[Location ]], Table1[Location],Table1[SVG Location],0,0)</f>
        <v>XDM</v>
      </c>
      <c r="G1309" s="3" t="s">
        <v>1616</v>
      </c>
    </row>
    <row r="1310" spans="1:7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tr">
        <f>_xlfn.XLOOKUP(Table3[[#This Row],[Location ]],Table1[Location],Table1[Oracle Location],0,0)</f>
        <v>MONXDM</v>
      </c>
      <c r="F1310" s="3" t="str">
        <f>_xlfn.XLOOKUP(Table3[[#This Row],[Location ]], Table1[Location],Table1[SVG Location],0,0)</f>
        <v>XDM</v>
      </c>
      <c r="G1310" s="3" t="s">
        <v>1617</v>
      </c>
    </row>
    <row r="1311" spans="1:7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tr">
        <f>_xlfn.XLOOKUP(Table3[[#This Row],[Location ]],Table1[Location],Table1[Oracle Location],0,0)</f>
        <v>MONXDU100</v>
      </c>
      <c r="F1311" s="3" t="str">
        <f>_xlfn.XLOOKUP(Table3[[#This Row],[Location ]], Table1[Location],Table1[SVG Location],0,0)</f>
        <v>XDU_100</v>
      </c>
      <c r="G1311" s="3" t="s">
        <v>1613</v>
      </c>
    </row>
    <row r="1312" spans="1:7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tr">
        <f>_xlfn.XLOOKUP(Table3[[#This Row],[Location ]],Table1[Location],Table1[Oracle Location],0,0)</f>
        <v>MONXDU</v>
      </c>
      <c r="F1312" s="3" t="str">
        <f>_xlfn.XLOOKUP(Table3[[#This Row],[Location ]], Table1[Location],Table1[SVG Location],0,0)</f>
        <v>XDU_1350</v>
      </c>
      <c r="G1312" s="3" t="s">
        <v>1615</v>
      </c>
    </row>
    <row r="1313" spans="1:7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tr">
        <f>_xlfn.XLOOKUP(Table3[[#This Row],[Location ]],Table1[Location],Table1[Oracle Location],0,0)</f>
        <v>MONDP</v>
      </c>
      <c r="F1313" s="3" t="str">
        <f>_xlfn.XLOOKUP(Table3[[#This Row],[Location ]], Table1[Location],Table1[SVG Location],0,0)</f>
        <v>DH_400</v>
      </c>
      <c r="G1313" s="3" t="s">
        <v>1613</v>
      </c>
    </row>
    <row r="1314" spans="1:7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tr">
        <f>_xlfn.XLOOKUP(Table3[[#This Row],[Location ]],Table1[Location],Table1[Oracle Location],0,0)</f>
        <v>MONDP</v>
      </c>
      <c r="F1314" s="3" t="str">
        <f>_xlfn.XLOOKUP(Table3[[#This Row],[Location ]], Table1[Location],Table1[SVG Location],0,0)</f>
        <v>DH_400</v>
      </c>
      <c r="G1314" s="3" t="s">
        <v>1613</v>
      </c>
    </row>
    <row r="1315" spans="1:7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tr">
        <f>_xlfn.XLOOKUP(Table3[[#This Row],[Location ]],Table1[Location],Table1[Oracle Location],0,0)</f>
        <v>MONDA</v>
      </c>
      <c r="F1315" s="3" t="str">
        <f>_xlfn.XLOOKUP(Table3[[#This Row],[Location ]], Table1[Location],Table1[SVG Location],0,0)</f>
        <v>MONDA</v>
      </c>
      <c r="G1315" s="3" t="s">
        <v>1615</v>
      </c>
    </row>
    <row r="1316" spans="1:7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tr">
        <f>_xlfn.XLOOKUP(Table3[[#This Row],[Location ]],Table1[Location],Table1[Oracle Location],0,0)</f>
        <v>MTY 1, MTY1</v>
      </c>
      <c r="F1316" s="3" t="str">
        <f>_xlfn.XLOOKUP(Table3[[#This Row],[Location ]], Table1[Location],Table1[SVG Location],0,0)</f>
        <v>Warehouse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tr">
        <f>_xlfn.XLOOKUP(Table3[[#This Row],[Location ]],Table1[Location],Table1[Oracle Location],0,0)</f>
        <v>MONXDU100</v>
      </c>
      <c r="F1317" s="3" t="str">
        <f>_xlfn.XLOOKUP(Table3[[#This Row],[Location ]], Table1[Location],Table1[SVG Location],0,0)</f>
        <v>XDU_100</v>
      </c>
      <c r="G1317" s="3" t="s">
        <v>1616</v>
      </c>
    </row>
    <row r="1318" spans="1:7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tr">
        <f>_xlfn.XLOOKUP(Table3[[#This Row],[Location ]],Table1[Location],Table1[Oracle Location],0,0)</f>
        <v>MONXDM</v>
      </c>
      <c r="F1318" s="3" t="str">
        <f>_xlfn.XLOOKUP(Table3[[#This Row],[Location ]], Table1[Location],Table1[SVG Location],0,0)</f>
        <v>XDM</v>
      </c>
      <c r="G1318" s="3" t="s">
        <v>1613</v>
      </c>
    </row>
    <row r="1319" spans="1:7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tr">
        <f>_xlfn.XLOOKUP(Table3[[#This Row],[Location ]],Table1[Location],Table1[Oracle Location],0,0)</f>
        <v>MONPRE</v>
      </c>
      <c r="F1319" s="3" t="str">
        <f>_xlfn.XLOOKUP(Table3[[#This Row],[Location ]], Table1[Location],Table1[SVG Location],0,0)</f>
        <v>PRE_L1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tr">
        <f>_xlfn.XLOOKUP(Table3[[#This Row],[Location ]],Table1[Location],Table1[Oracle Location],0,0)</f>
        <v>MONSKID</v>
      </c>
      <c r="F1320" s="3" t="str">
        <f>_xlfn.XLOOKUP(Table3[[#This Row],[Location ]], Table1[Location],Table1[SVG Location],0,0)</f>
        <v>SKID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tr">
        <f>_xlfn.XLOOKUP(Table3[[#This Row],[Location ]],Table1[Location],Table1[Oracle Location],0,0)</f>
        <v>MON-AFC</v>
      </c>
      <c r="F1321" s="3" t="str">
        <f>_xlfn.XLOOKUP(Table3[[#This Row],[Location ]], Table1[Location],Table1[SVG Location],0,0)</f>
        <v>AFC</v>
      </c>
      <c r="G1321" s="3" t="s">
        <v>1614</v>
      </c>
    </row>
    <row r="1322" spans="1:7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tr">
        <f>_xlfn.XLOOKUP(Table3[[#This Row],[Location ]],Table1[Location],Table1[Oracle Location],0,0)</f>
        <v>MTY 1, MTY1</v>
      </c>
      <c r="F1322" s="3" t="str">
        <f>_xlfn.XLOOKUP(Table3[[#This Row],[Location ]], Table1[Location],Table1[SVG Location],0,0)</f>
        <v>Warehouse</v>
      </c>
      <c r="G1322" s="3" t="s">
        <v>1615</v>
      </c>
    </row>
    <row r="1323" spans="1:7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tr">
        <f>_xlfn.XLOOKUP(Table3[[#This Row],[Location ]],Table1[Location],Table1[Oracle Location],0,0)</f>
        <v>MONEP</v>
      </c>
      <c r="F1323" s="3" t="str">
        <f>_xlfn.XLOOKUP(Table3[[#This Row],[Location ]], Table1[Location],Table1[SVG Location],0,0)</f>
        <v>EP</v>
      </c>
      <c r="G1323" s="3" t="s">
        <v>1617</v>
      </c>
    </row>
    <row r="1324" spans="1:7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tr">
        <f>_xlfn.XLOOKUP(Table3[[#This Row],[Location ]],Table1[Location],Table1[Oracle Location],0,0)</f>
        <v>MONCOILS</v>
      </c>
      <c r="F1324" s="3" t="str">
        <f>_xlfn.XLOOKUP(Table3[[#This Row],[Location ]], Table1[Location],Table1[SVG Location],0,0)</f>
        <v>Coils_Shop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tr">
        <f>_xlfn.XLOOKUP(Table3[[#This Row],[Location ]],Table1[Location],Table1[Oracle Location],0,0)</f>
        <v>MTY3</v>
      </c>
      <c r="F1325" s="3" t="str">
        <f>_xlfn.XLOOKUP(Table3[[#This Row],[Location ]], Table1[Location],Table1[SVG Location],0,0)</f>
        <v>MTY3</v>
      </c>
      <c r="G1325" s="3" t="s">
        <v>1616</v>
      </c>
    </row>
    <row r="1326" spans="1:7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tr">
        <f>_xlfn.XLOOKUP(Table3[[#This Row],[Location ]],Table1[Location],Table1[Oracle Location],0,0)</f>
        <v>MONMC</v>
      </c>
      <c r="F1326" s="3" t="str">
        <f>_xlfn.XLOOKUP(Table3[[#This Row],[Location ]], Table1[Location],Table1[SVG Location],0,0)</f>
        <v>MC</v>
      </c>
      <c r="G1326" s="3" t="s">
        <v>1615</v>
      </c>
    </row>
    <row r="1327" spans="1:7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tr">
        <f>_xlfn.XLOOKUP(Table3[[#This Row],[Location ]],Table1[Location],Table1[Oracle Location],0,0)</f>
        <v>MONDP</v>
      </c>
      <c r="F1327" s="3" t="str">
        <f>_xlfn.XLOOKUP(Table3[[#This Row],[Location ]], Table1[Location],Table1[SVG Location],0,0)</f>
        <v>DH_400</v>
      </c>
      <c r="G1327" s="3" t="s">
        <v>1615</v>
      </c>
    </row>
    <row r="1328" spans="1:7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tr">
        <f>_xlfn.XLOOKUP(Table3[[#This Row],[Location ]],Table1[Location],Table1[Oracle Location],0,0)</f>
        <v>MONCOILS</v>
      </c>
      <c r="F1328" s="3" t="str">
        <f>_xlfn.XLOOKUP(Table3[[#This Row],[Location ]], Table1[Location],Table1[SVG Location],0,0)</f>
        <v>Coils_Shop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tr">
        <f>_xlfn.XLOOKUP(Table3[[#This Row],[Location ]],Table1[Location],Table1[Oracle Location],0,0)</f>
        <v>MTY 1, MTY1</v>
      </c>
      <c r="F1329" s="3" t="str">
        <f>_xlfn.XLOOKUP(Table3[[#This Row],[Location ]], Table1[Location],Table1[SVG Location],0,0)</f>
        <v>Warehouse</v>
      </c>
      <c r="G1329" s="3" t="s">
        <v>1614</v>
      </c>
    </row>
    <row r="1330" spans="1:7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tr">
        <f>_xlfn.XLOOKUP(Table3[[#This Row],[Location ]],Table1[Location],Table1[Oracle Location],0,0)</f>
        <v>MONCOILS</v>
      </c>
      <c r="F1330" s="3" t="str">
        <f>_xlfn.XLOOKUP(Table3[[#This Row],[Location ]], Table1[Location],Table1[SVG Location],0,0)</f>
        <v>Coils_Shop</v>
      </c>
      <c r="G1330" s="3" t="s">
        <v>1617</v>
      </c>
    </row>
    <row r="1331" spans="1:7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tr">
        <f>_xlfn.XLOOKUP(Table3[[#This Row],[Location ]],Table1[Location],Table1[Oracle Location],0,0)</f>
        <v>MONDP</v>
      </c>
      <c r="F1331" s="3" t="str">
        <f>_xlfn.XLOOKUP(Table3[[#This Row],[Location ]], Table1[Location],Table1[SVG Location],0,0)</f>
        <v>DH_400</v>
      </c>
      <c r="G1331" s="3" t="s">
        <v>1613</v>
      </c>
    </row>
    <row r="1332" spans="1:7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tr">
        <f>_xlfn.XLOOKUP(Table3[[#This Row],[Location ]],Table1[Location],Table1[Oracle Location],0,0)</f>
        <v>MONDP</v>
      </c>
      <c r="F1332" s="3" t="str">
        <f>_xlfn.XLOOKUP(Table3[[#This Row],[Location ]], Table1[Location],Table1[SVG Location],0,0)</f>
        <v>DH_400</v>
      </c>
      <c r="G1332" s="3" t="s">
        <v>1617</v>
      </c>
    </row>
    <row r="1333" spans="1:7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tr">
        <f>_xlfn.XLOOKUP(Table3[[#This Row],[Location ]],Table1[Location],Table1[Oracle Location],0,0)</f>
        <v>MONEP</v>
      </c>
      <c r="F1333" s="3" t="str">
        <f>_xlfn.XLOOKUP(Table3[[#This Row],[Location ]], Table1[Location],Table1[SVG Location],0,0)</f>
        <v>EP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tr">
        <f>_xlfn.XLOOKUP(Table3[[#This Row],[Location ]],Table1[Location],Table1[Oracle Location],0,0)</f>
        <v>MONPRE</v>
      </c>
      <c r="F1334" s="3" t="str">
        <f>_xlfn.XLOOKUP(Table3[[#This Row],[Location ]], Table1[Location],Table1[SVG Location],0,0)</f>
        <v>PRE_L1</v>
      </c>
      <c r="G1334" s="3" t="s">
        <v>1616</v>
      </c>
    </row>
    <row r="1335" spans="1:7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tr">
        <f>_xlfn.XLOOKUP(Table3[[#This Row],[Location ]],Table1[Location],Table1[Oracle Location],0,0)</f>
        <v>MONXDU</v>
      </c>
      <c r="F1335" s="3" t="str">
        <f>_xlfn.XLOOKUP(Table3[[#This Row],[Location ]], Table1[Location],Table1[SVG Location],0,0)</f>
        <v>XDU_1350</v>
      </c>
      <c r="G1335" s="3" t="s">
        <v>1613</v>
      </c>
    </row>
    <row r="1336" spans="1:7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tr">
        <f>_xlfn.XLOOKUP(Table3[[#This Row],[Location ]],Table1[Location],Table1[Oracle Location],0,0)</f>
        <v>MONDP</v>
      </c>
      <c r="F1336" s="3" t="str">
        <f>_xlfn.XLOOKUP(Table3[[#This Row],[Location ]], Table1[Location],Table1[SVG Location],0,0)</f>
        <v>DH_400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tr">
        <f>_xlfn.XLOOKUP(Table3[[#This Row],[Location ]],Table1[Location],Table1[Oracle Location],0,0)</f>
        <v>MTY3</v>
      </c>
      <c r="F1337" s="3" t="str">
        <f>_xlfn.XLOOKUP(Table3[[#This Row],[Location ]], Table1[Location],Table1[SVG Location],0,0)</f>
        <v>MTY3</v>
      </c>
      <c r="G1337" s="3" t="s">
        <v>1616</v>
      </c>
    </row>
    <row r="1338" spans="1:7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tr">
        <f>_xlfn.XLOOKUP(Table3[[#This Row],[Location ]],Table1[Location],Table1[Oracle Location],0,0)</f>
        <v>MONDP</v>
      </c>
      <c r="F1338" s="3" t="str">
        <f>_xlfn.XLOOKUP(Table3[[#This Row],[Location ]], Table1[Location],Table1[SVG Location],0,0)</f>
        <v>DH_400</v>
      </c>
      <c r="G1338" s="3" t="s">
        <v>1615</v>
      </c>
    </row>
    <row r="1339" spans="1:7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tr">
        <f>_xlfn.XLOOKUP(Table3[[#This Row],[Location ]],Table1[Location],Table1[Oracle Location],0,0)</f>
        <v>MONBLW</v>
      </c>
      <c r="F1339" s="3" t="str">
        <f>_xlfn.XLOOKUP(Table3[[#This Row],[Location ]], Table1[Location],Table1[SVG Location],0,0)</f>
        <v>Blower</v>
      </c>
      <c r="G1339" s="3" t="s">
        <v>1613</v>
      </c>
    </row>
    <row r="1340" spans="1:7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tr">
        <f>_xlfn.XLOOKUP(Table3[[#This Row],[Location ]],Table1[Location],Table1[Oracle Location],0,0)</f>
        <v>MONXDU</v>
      </c>
      <c r="F1340" s="3" t="str">
        <f>_xlfn.XLOOKUP(Table3[[#This Row],[Location ]], Table1[Location],Table1[SVG Location],0,0)</f>
        <v>XDU_1350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tr">
        <f>_xlfn.XLOOKUP(Table3[[#This Row],[Location ]],Table1[Location],Table1[Oracle Location],0,0)</f>
        <v>MONEP</v>
      </c>
      <c r="F1341" s="3" t="str">
        <f>_xlfn.XLOOKUP(Table3[[#This Row],[Location ]], Table1[Location],Table1[SVG Location],0,0)</f>
        <v>EP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tr">
        <f>_xlfn.XLOOKUP(Table3[[#This Row],[Location ]],Table1[Location],Table1[Oracle Location],0,0)</f>
        <v>MONEP</v>
      </c>
      <c r="F1342" s="3" t="str">
        <f>_xlfn.XLOOKUP(Table3[[#This Row],[Location ]], Table1[Location],Table1[SVG Location],0,0)</f>
        <v>EP</v>
      </c>
      <c r="G1342" s="3" t="s">
        <v>1616</v>
      </c>
    </row>
    <row r="1343" spans="1:7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tr">
        <f>_xlfn.XLOOKUP(Table3[[#This Row],[Location ]],Table1[Location],Table1[Oracle Location],0,0)</f>
        <v>MONDP</v>
      </c>
      <c r="F1343" s="3" t="str">
        <f>_xlfn.XLOOKUP(Table3[[#This Row],[Location ]], Table1[Location],Table1[SVG Location],0,0)</f>
        <v>DH_400</v>
      </c>
      <c r="G1343" s="3" t="s">
        <v>1615</v>
      </c>
    </row>
    <row r="1344" spans="1:7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tr">
        <f>_xlfn.XLOOKUP(Table3[[#This Row],[Location ]],Table1[Location],Table1[Oracle Location],0,0)</f>
        <v>MONCOILS</v>
      </c>
      <c r="F1344" s="3" t="str">
        <f>_xlfn.XLOOKUP(Table3[[#This Row],[Location ]], Table1[Location],Table1[SVG Location],0,0)</f>
        <v>Coils_Shop</v>
      </c>
      <c r="G1344" s="3" t="s">
        <v>1615</v>
      </c>
    </row>
    <row r="1345" spans="1:7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tr">
        <f>_xlfn.XLOOKUP(Table3[[#This Row],[Location ]],Table1[Location],Table1[Oracle Location],0,0)</f>
        <v>MONXDU100</v>
      </c>
      <c r="F1345" s="3" t="str">
        <f>_xlfn.XLOOKUP(Table3[[#This Row],[Location ]], Table1[Location],Table1[SVG Location],0,0)</f>
        <v>XDU_100</v>
      </c>
      <c r="G1345" s="3" t="s">
        <v>1617</v>
      </c>
    </row>
    <row r="1346" spans="1:7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tr">
        <f>_xlfn.XLOOKUP(Table3[[#This Row],[Location ]],Table1[Location],Table1[Oracle Location],0,0)</f>
        <v>MONEP</v>
      </c>
      <c r="F1346" s="3" t="str">
        <f>_xlfn.XLOOKUP(Table3[[#This Row],[Location ]], Table1[Location],Table1[SVG Location],0,0)</f>
        <v>EP</v>
      </c>
      <c r="G1346" s="3" t="s">
        <v>1613</v>
      </c>
    </row>
    <row r="1347" spans="1:7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tr">
        <f>_xlfn.XLOOKUP(Table3[[#This Row],[Location ]],Table1[Location],Table1[Oracle Location],0,0)</f>
        <v>MONBLW</v>
      </c>
      <c r="F1347" s="3" t="str">
        <f>_xlfn.XLOOKUP(Table3[[#This Row],[Location ]], Table1[Location],Table1[SVG Location],0,0)</f>
        <v>Blower</v>
      </c>
      <c r="G1347" s="3" t="s">
        <v>1617</v>
      </c>
    </row>
    <row r="1348" spans="1:7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tr">
        <f>_xlfn.XLOOKUP(Table3[[#This Row],[Location ]],Table1[Location],Table1[Oracle Location],0,0)</f>
        <v>MTY 1, MTY1</v>
      </c>
      <c r="F1348" s="3" t="str">
        <f>_xlfn.XLOOKUP(Table3[[#This Row],[Location ]], Table1[Location],Table1[SVG Location],0,0)</f>
        <v>Warehouse</v>
      </c>
      <c r="G1348" s="3" t="s">
        <v>1615</v>
      </c>
    </row>
    <row r="1349" spans="1:7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tr">
        <f>_xlfn.XLOOKUP(Table3[[#This Row],[Location ]],Table1[Location],Table1[Oracle Location],0,0)</f>
        <v>MONXDU100</v>
      </c>
      <c r="F1349" s="3" t="str">
        <f>_xlfn.XLOOKUP(Table3[[#This Row],[Location ]], Table1[Location],Table1[SVG Location],0,0)</f>
        <v>XDU_100</v>
      </c>
      <c r="G1349" s="3" t="s">
        <v>1617</v>
      </c>
    </row>
    <row r="1350" spans="1:7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tr">
        <f>_xlfn.XLOOKUP(Table3[[#This Row],[Location ]],Table1[Location],Table1[Oracle Location],0,0)</f>
        <v>MONSKID</v>
      </c>
      <c r="F1350" s="3" t="str">
        <f>_xlfn.XLOOKUP(Table3[[#This Row],[Location ]], Table1[Location],Table1[SVG Location],0,0)</f>
        <v>SKID</v>
      </c>
      <c r="G1350" s="3" t="s">
        <v>1615</v>
      </c>
    </row>
    <row r="1351" spans="1:7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tr">
        <f>_xlfn.XLOOKUP(Table3[[#This Row],[Location ]],Table1[Location],Table1[Oracle Location],0,0)</f>
        <v>MONEP</v>
      </c>
      <c r="F1351" s="3" t="str">
        <f>_xlfn.XLOOKUP(Table3[[#This Row],[Location ]], Table1[Location],Table1[SVG Location],0,0)</f>
        <v>EP</v>
      </c>
      <c r="G1351" s="3" t="s">
        <v>1613</v>
      </c>
    </row>
    <row r="1352" spans="1:7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tr">
        <f>_xlfn.XLOOKUP(Table3[[#This Row],[Location ]],Table1[Location],Table1[Oracle Location],0,0)</f>
        <v>MONSM</v>
      </c>
      <c r="F1352" s="3" t="str">
        <f>_xlfn.XLOOKUP(Table3[[#This Row],[Location ]], Table1[Location],Table1[SVG Location],0,0)</f>
        <v>Sheet_Metal</v>
      </c>
      <c r="G1352" s="3" t="s">
        <v>1615</v>
      </c>
    </row>
    <row r="1353" spans="1:7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tr">
        <f>_xlfn.XLOOKUP(Table3[[#This Row],[Location ]],Table1[Location],Table1[Oracle Location],0,0)</f>
        <v>MONXDU</v>
      </c>
      <c r="F1353" s="3" t="str">
        <f>_xlfn.XLOOKUP(Table3[[#This Row],[Location ]], Table1[Location],Table1[SVG Location],0,0)</f>
        <v>XDU_1350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tr">
        <f>_xlfn.XLOOKUP(Table3[[#This Row],[Location ]],Table1[Location],Table1[Oracle Location],0,0)</f>
        <v>ALL</v>
      </c>
      <c r="F1354" s="3" t="str">
        <f>_xlfn.XLOOKUP(Table3[[#This Row],[Location ]], Table1[Location],Table1[SVG Location],0,0)</f>
        <v>ALL</v>
      </c>
      <c r="G1354" s="3">
        <v>0</v>
      </c>
    </row>
    <row r="1355" spans="1:7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tr">
        <f>_xlfn.XLOOKUP(Table3[[#This Row],[Location ]],Table1[Location],Table1[Oracle Location],0,0)</f>
        <v>MONDP</v>
      </c>
      <c r="F1355" s="3" t="str">
        <f>_xlfn.XLOOKUP(Table3[[#This Row],[Location ]], Table1[Location],Table1[SVG Location],0,0)</f>
        <v>DH_400</v>
      </c>
      <c r="G1355" s="3" t="s">
        <v>1615</v>
      </c>
    </row>
    <row r="1356" spans="1:7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tr">
        <f>_xlfn.XLOOKUP(Table3[[#This Row],[Location ]],Table1[Location],Table1[Oracle Location],0,0)</f>
        <v>MONBLW</v>
      </c>
      <c r="F1356" s="3" t="str">
        <f>_xlfn.XLOOKUP(Table3[[#This Row],[Location ]], Table1[Location],Table1[SVG Location],0,0)</f>
        <v>Blower</v>
      </c>
      <c r="G1356" s="3" t="s">
        <v>1617</v>
      </c>
    </row>
    <row r="1357" spans="1:7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tr">
        <f>_xlfn.XLOOKUP(Table3[[#This Row],[Location ]],Table1[Location],Table1[Oracle Location],0,0)</f>
        <v>MONPRE</v>
      </c>
      <c r="F1357" s="3" t="str">
        <f>_xlfn.XLOOKUP(Table3[[#This Row],[Location ]], Table1[Location],Table1[SVG Location],0,0)</f>
        <v>PRE_L1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tr">
        <f>_xlfn.XLOOKUP(Table3[[#This Row],[Location ]],Table1[Location],Table1[Oracle Location],0,0)</f>
        <v>MTY3</v>
      </c>
      <c r="F1358" s="3" t="str">
        <f>_xlfn.XLOOKUP(Table3[[#This Row],[Location ]], Table1[Location],Table1[SVG Location],0,0)</f>
        <v>MTY3</v>
      </c>
      <c r="G1358" s="3">
        <v>0</v>
      </c>
    </row>
    <row r="1359" spans="1:7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tr">
        <f>_xlfn.XLOOKUP(Table3[[#This Row],[Location ]],Table1[Location],Table1[Oracle Location],0,0)</f>
        <v>MONBLW</v>
      </c>
      <c r="F1359" s="3" t="str">
        <f>_xlfn.XLOOKUP(Table3[[#This Row],[Location ]], Table1[Location],Table1[SVG Location],0,0)</f>
        <v>Blower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tr">
        <f>_xlfn.XLOOKUP(Table3[[#This Row],[Location ]],Table1[Location],Table1[Oracle Location],0,0)</f>
        <v>MTY3</v>
      </c>
      <c r="F1360" s="3" t="str">
        <f>_xlfn.XLOOKUP(Table3[[#This Row],[Location ]], Table1[Location],Table1[SVG Location],0,0)</f>
        <v>MTY3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tr">
        <f>_xlfn.XLOOKUP(Table3[[#This Row],[Location ]],Table1[Location],Table1[Oracle Location],0,0)</f>
        <v>MONBLW</v>
      </c>
      <c r="F1361" s="3" t="str">
        <f>_xlfn.XLOOKUP(Table3[[#This Row],[Location ]], Table1[Location],Table1[SVG Location],0,0)</f>
        <v>Blower</v>
      </c>
      <c r="G1361" s="3" t="s">
        <v>1614</v>
      </c>
    </row>
    <row r="1362" spans="1:7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tr">
        <f>_xlfn.XLOOKUP(Table3[[#This Row],[Location ]],Table1[Location],Table1[Oracle Location],0,0)</f>
        <v>MONPIPING</v>
      </c>
      <c r="F1362" s="3" t="str">
        <f>_xlfn.XLOOKUP(Table3[[#This Row],[Location ]], Table1[Location],Table1[SVG Location],0,0)</f>
        <v>Piping</v>
      </c>
      <c r="G1362" s="3" t="s">
        <v>1617</v>
      </c>
    </row>
    <row r="1363" spans="1:7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tr">
        <f>_xlfn.XLOOKUP(Table3[[#This Row],[Location ]],Table1[Location],Table1[Oracle Location],0,0)</f>
        <v>MTY 1, MTY1</v>
      </c>
      <c r="F1363" s="3" t="str">
        <f>_xlfn.XLOOKUP(Table3[[#This Row],[Location ]], Table1[Location],Table1[SVG Location],0,0)</f>
        <v>Warehouse</v>
      </c>
      <c r="G1363" s="3" t="s">
        <v>1615</v>
      </c>
    </row>
    <row r="1364" spans="1:7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tr">
        <f>_xlfn.XLOOKUP(Table3[[#This Row],[Location ]],Table1[Location],Table1[Oracle Location],0,0)</f>
        <v>MONEP</v>
      </c>
      <c r="F1364" s="3" t="str">
        <f>_xlfn.XLOOKUP(Table3[[#This Row],[Location ]], Table1[Location],Table1[SVG Location],0,0)</f>
        <v>EP</v>
      </c>
      <c r="G1364" s="3" t="s">
        <v>1615</v>
      </c>
    </row>
    <row r="1365" spans="1:7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tr">
        <f>_xlfn.XLOOKUP(Table3[[#This Row],[Location ]],Table1[Location],Table1[Oracle Location],0,0)</f>
        <v>MONPRE</v>
      </c>
      <c r="F1365" s="3" t="str">
        <f>_xlfn.XLOOKUP(Table3[[#This Row],[Location ]], Table1[Location],Table1[SVG Location],0,0)</f>
        <v>PRE_L1</v>
      </c>
      <c r="G1365" s="3" t="s">
        <v>1617</v>
      </c>
    </row>
    <row r="1366" spans="1:7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tr">
        <f>_xlfn.XLOOKUP(Table3[[#This Row],[Location ]],Table1[Location],Table1[Oracle Location],0,0)</f>
        <v>MONDP</v>
      </c>
      <c r="F1366" s="3" t="str">
        <f>_xlfn.XLOOKUP(Table3[[#This Row],[Location ]], Table1[Location],Table1[SVG Location],0,0)</f>
        <v>DH_400</v>
      </c>
      <c r="G1366" s="3" t="s">
        <v>1617</v>
      </c>
    </row>
    <row r="1367" spans="1:7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tr">
        <f>_xlfn.XLOOKUP(Table3[[#This Row],[Location ]],Table1[Location],Table1[Oracle Location],0,0)</f>
        <v>MONDP</v>
      </c>
      <c r="F1367" s="3" t="str">
        <f>_xlfn.XLOOKUP(Table3[[#This Row],[Location ]], Table1[Location],Table1[SVG Location],0,0)</f>
        <v>DH_400</v>
      </c>
      <c r="G1367" s="3" t="s">
        <v>1617</v>
      </c>
    </row>
    <row r="1368" spans="1:7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tr">
        <f>_xlfn.XLOOKUP(Table3[[#This Row],[Location ]],Table1[Location],Table1[Oracle Location],0,0)</f>
        <v>MONEP</v>
      </c>
      <c r="F1368" s="3" t="str">
        <f>_xlfn.XLOOKUP(Table3[[#This Row],[Location ]], Table1[Location],Table1[SVG Location],0,0)</f>
        <v>EP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tr">
        <f>_xlfn.XLOOKUP(Table3[[#This Row],[Location ]],Table1[Location],Table1[Oracle Location],0,0)</f>
        <v>MONMC</v>
      </c>
      <c r="F1369" s="3" t="str">
        <f>_xlfn.XLOOKUP(Table3[[#This Row],[Location ]], Table1[Location],Table1[SVG Location],0,0)</f>
        <v>MC</v>
      </c>
      <c r="G1369" s="3" t="s">
        <v>1614</v>
      </c>
    </row>
    <row r="1370" spans="1:7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tr">
        <f>_xlfn.XLOOKUP(Table3[[#This Row],[Location ]],Table1[Location],Table1[Oracle Location],0,0)</f>
        <v>MONXDU</v>
      </c>
      <c r="F1370" s="3" t="str">
        <f>_xlfn.XLOOKUP(Table3[[#This Row],[Location ]], Table1[Location],Table1[SVG Location],0,0)</f>
        <v>XDU_1350</v>
      </c>
      <c r="G1370" s="3" t="s">
        <v>1615</v>
      </c>
    </row>
    <row r="1371" spans="1:7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tr">
        <f>_xlfn.XLOOKUP(Table3[[#This Row],[Location ]],Table1[Location],Table1[Oracle Location],0,0)</f>
        <v>MONEP</v>
      </c>
      <c r="F1371" s="3" t="str">
        <f>_xlfn.XLOOKUP(Table3[[#This Row],[Location ]], Table1[Location],Table1[SVG Location],0,0)</f>
        <v>EP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tr">
        <f>_xlfn.XLOOKUP(Table3[[#This Row],[Location ]],Table1[Location],Table1[Oracle Location],0,0)</f>
        <v>MONCOILS</v>
      </c>
      <c r="F1372" s="3" t="str">
        <f>_xlfn.XLOOKUP(Table3[[#This Row],[Location ]], Table1[Location],Table1[SVG Location],0,0)</f>
        <v>Coils_Shop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tr">
        <f>_xlfn.XLOOKUP(Table3[[#This Row],[Location ]],Table1[Location],Table1[Oracle Location],0,0)</f>
        <v>MONPIPING</v>
      </c>
      <c r="F1373" s="3" t="str">
        <f>_xlfn.XLOOKUP(Table3[[#This Row],[Location ]], Table1[Location],Table1[SVG Location],0,0)</f>
        <v>Piping</v>
      </c>
      <c r="G1373" s="3" t="s">
        <v>1616</v>
      </c>
    </row>
    <row r="1374" spans="1:7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tr">
        <f>_xlfn.XLOOKUP(Table3[[#This Row],[Location ]],Table1[Location],Table1[Oracle Location],0,0)</f>
        <v>MTY 1, MTY1</v>
      </c>
      <c r="F1374" s="3" t="str">
        <f>_xlfn.XLOOKUP(Table3[[#This Row],[Location ]], Table1[Location],Table1[SVG Location],0,0)</f>
        <v>Warehouse</v>
      </c>
      <c r="G1374" s="3" t="s">
        <v>1615</v>
      </c>
    </row>
    <row r="1375" spans="1:7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tr">
        <f>_xlfn.XLOOKUP(Table3[[#This Row],[Location ]],Table1[Location],Table1[Oracle Location],0,0)</f>
        <v>MONXDU100</v>
      </c>
      <c r="F1375" s="3" t="str">
        <f>_xlfn.XLOOKUP(Table3[[#This Row],[Location ]], Table1[Location],Table1[SVG Location],0,0)</f>
        <v>XDU_100</v>
      </c>
      <c r="G1375" s="3" t="s">
        <v>1615</v>
      </c>
    </row>
    <row r="1376" spans="1:7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tr">
        <f>_xlfn.XLOOKUP(Table3[[#This Row],[Location ]],Table1[Location],Table1[Oracle Location],0,0)</f>
        <v>MONMC</v>
      </c>
      <c r="F1376" s="3" t="str">
        <f>_xlfn.XLOOKUP(Table3[[#This Row],[Location ]], Table1[Location],Table1[SVG Location],0,0)</f>
        <v>MC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tr">
        <f>_xlfn.XLOOKUP(Table3[[#This Row],[Location ]],Table1[Location],Table1[Oracle Location],0,0)</f>
        <v>MONBLW</v>
      </c>
      <c r="F1377" s="3" t="str">
        <f>_xlfn.XLOOKUP(Table3[[#This Row],[Location ]], Table1[Location],Table1[SVG Location],0,0)</f>
        <v>Blower</v>
      </c>
      <c r="G1377" s="3" t="s">
        <v>1616</v>
      </c>
    </row>
    <row r="1378" spans="1:7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tr">
        <f>_xlfn.XLOOKUP(Table3[[#This Row],[Location ]],Table1[Location],Table1[Oracle Location],0,0)</f>
        <v>MONXDU</v>
      </c>
      <c r="F1378" s="3" t="str">
        <f>_xlfn.XLOOKUP(Table3[[#This Row],[Location ]], Table1[Location],Table1[SVG Location],0,0)</f>
        <v>XDU_1350</v>
      </c>
      <c r="G1378" s="3" t="s">
        <v>1615</v>
      </c>
    </row>
    <row r="1379" spans="1:7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tr">
        <f>_xlfn.XLOOKUP(Table3[[#This Row],[Location ]],Table1[Location],Table1[Oracle Location],0,0)</f>
        <v>MONXDU100</v>
      </c>
      <c r="F1379" s="3" t="str">
        <f>_xlfn.XLOOKUP(Table3[[#This Row],[Location ]], Table1[Location],Table1[SVG Location],0,0)</f>
        <v>XDU_100</v>
      </c>
      <c r="G1379" s="3" t="s">
        <v>1617</v>
      </c>
    </row>
    <row r="1380" spans="1:7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tr">
        <f>_xlfn.XLOOKUP(Table3[[#This Row],[Location ]],Table1[Location],Table1[Oracle Location],0,0)</f>
        <v>MONDP</v>
      </c>
      <c r="F1380" s="3" t="str">
        <f>_xlfn.XLOOKUP(Table3[[#This Row],[Location ]], Table1[Location],Table1[SVG Location],0,0)</f>
        <v>DH_400</v>
      </c>
      <c r="G1380" s="3" t="s">
        <v>1615</v>
      </c>
    </row>
    <row r="1381" spans="1:7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tr">
        <f>_xlfn.XLOOKUP(Table3[[#This Row],[Location ]],Table1[Location],Table1[Oracle Location],0,0)</f>
        <v>MONMC</v>
      </c>
      <c r="F1381" s="3" t="str">
        <f>_xlfn.XLOOKUP(Table3[[#This Row],[Location ]], Table1[Location],Table1[SVG Location],0,0)</f>
        <v>MC</v>
      </c>
      <c r="G1381" s="3" t="s">
        <v>1615</v>
      </c>
    </row>
    <row r="1382" spans="1:7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tr">
        <f>_xlfn.XLOOKUP(Table3[[#This Row],[Location ]],Table1[Location],Table1[Oracle Location],0,0)</f>
        <v>MONEP</v>
      </c>
      <c r="F1382" s="3" t="str">
        <f>_xlfn.XLOOKUP(Table3[[#This Row],[Location ]], Table1[Location],Table1[SVG Location],0,0)</f>
        <v>EP</v>
      </c>
      <c r="G1382" s="3" t="s">
        <v>1615</v>
      </c>
    </row>
    <row r="1383" spans="1:7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tr">
        <f>_xlfn.XLOOKUP(Table3[[#This Row],[Location ]],Table1[Location],Table1[Oracle Location],0,0)</f>
        <v>MONDP</v>
      </c>
      <c r="F1383" s="3" t="str">
        <f>_xlfn.XLOOKUP(Table3[[#This Row],[Location ]], Table1[Location],Table1[SVG Location],0,0)</f>
        <v>DH_400</v>
      </c>
      <c r="G1383" s="3" t="s">
        <v>1617</v>
      </c>
    </row>
    <row r="1384" spans="1:7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tr">
        <f>_xlfn.XLOOKUP(Table3[[#This Row],[Location ]],Table1[Location],Table1[Oracle Location],0,0)</f>
        <v>MTY 1, MTY1</v>
      </c>
      <c r="F1384" s="3" t="str">
        <f>_xlfn.XLOOKUP(Table3[[#This Row],[Location ]], Table1[Location],Table1[SVG Location],0,0)</f>
        <v>Warehouse</v>
      </c>
      <c r="G1384" s="3" t="s">
        <v>1615</v>
      </c>
    </row>
    <row r="1385" spans="1:7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tr">
        <f>_xlfn.XLOOKUP(Table3[[#This Row],[Location ]],Table1[Location],Table1[Oracle Location],0,0)</f>
        <v>MONXDU100</v>
      </c>
      <c r="F1385" s="3" t="str">
        <f>_xlfn.XLOOKUP(Table3[[#This Row],[Location ]], Table1[Location],Table1[SVG Location],0,0)</f>
        <v>XDU_100</v>
      </c>
      <c r="G1385" s="3" t="s">
        <v>1613</v>
      </c>
    </row>
    <row r="1386" spans="1:7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tr">
        <f>_xlfn.XLOOKUP(Table3[[#This Row],[Location ]],Table1[Location],Table1[Oracle Location],0,0)</f>
        <v>MONXDU100</v>
      </c>
      <c r="F1386" s="3" t="str">
        <f>_xlfn.XLOOKUP(Table3[[#This Row],[Location ]], Table1[Location],Table1[SVG Location],0,0)</f>
        <v>XDU_100</v>
      </c>
      <c r="G1386" s="3" t="s">
        <v>1613</v>
      </c>
    </row>
    <row r="1387" spans="1:7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tr">
        <f>_xlfn.XLOOKUP(Table3[[#This Row],[Location ]],Table1[Location],Table1[Oracle Location],0,0)</f>
        <v>MTY 1, MTY1</v>
      </c>
      <c r="F1387" s="3" t="str">
        <f>_xlfn.XLOOKUP(Table3[[#This Row],[Location ]], Table1[Location],Table1[SVG Location],0,0)</f>
        <v>Warehouse</v>
      </c>
      <c r="G1387" s="3" t="s">
        <v>1615</v>
      </c>
    </row>
    <row r="1388" spans="1:7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tr">
        <f>_xlfn.XLOOKUP(Table3[[#This Row],[Location ]],Table1[Location],Table1[Oracle Location],0,0)</f>
        <v>MONDP</v>
      </c>
      <c r="F1388" s="3" t="str">
        <f>_xlfn.XLOOKUP(Table3[[#This Row],[Location ]], Table1[Location],Table1[SVG Location],0,0)</f>
        <v>DH_400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tr">
        <f>_xlfn.XLOOKUP(Table3[[#This Row],[Location ]],Table1[Location],Table1[Oracle Location],0,0)</f>
        <v>MTY 1, MTY1</v>
      </c>
      <c r="F1389" s="3" t="str">
        <f>_xlfn.XLOOKUP(Table3[[#This Row],[Location ]], Table1[Location],Table1[SVG Location],0,0)</f>
        <v>Warehouse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tr">
        <f>_xlfn.XLOOKUP(Table3[[#This Row],[Location ]],Table1[Location],Table1[Oracle Location],0,0)</f>
        <v>MONXDM</v>
      </c>
      <c r="F1390" s="3" t="str">
        <f>_xlfn.XLOOKUP(Table3[[#This Row],[Location ]], Table1[Location],Table1[SVG Location],0,0)</f>
        <v>XDM</v>
      </c>
      <c r="G1390" s="3" t="s">
        <v>1616</v>
      </c>
    </row>
    <row r="1391" spans="1:7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tr">
        <f>_xlfn.XLOOKUP(Table3[[#This Row],[Location ]],Table1[Location],Table1[Oracle Location],0,0)</f>
        <v>MONXDU</v>
      </c>
      <c r="F1391" s="3" t="str">
        <f>_xlfn.XLOOKUP(Table3[[#This Row],[Location ]], Table1[Location],Table1[SVG Location],0,0)</f>
        <v>XDU_1350</v>
      </c>
      <c r="G1391" s="3" t="s">
        <v>1615</v>
      </c>
    </row>
    <row r="1392" spans="1:7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tr">
        <f>_xlfn.XLOOKUP(Table3[[#This Row],[Location ]],Table1[Location],Table1[Oracle Location],0,0)</f>
        <v>MONBLW</v>
      </c>
      <c r="F1392" s="3" t="str">
        <f>_xlfn.XLOOKUP(Table3[[#This Row],[Location ]], Table1[Location],Table1[SVG Location],0,0)</f>
        <v>Blower</v>
      </c>
      <c r="G1392" s="3" t="s">
        <v>1613</v>
      </c>
    </row>
    <row r="1393" spans="1:7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tr">
        <f>_xlfn.XLOOKUP(Table3[[#This Row],[Location ]],Table1[Location],Table1[Oracle Location],0,0)</f>
        <v>MONSKID</v>
      </c>
      <c r="F1393" s="3" t="str">
        <f>_xlfn.XLOOKUP(Table3[[#This Row],[Location ]], Table1[Location],Table1[SVG Location],0,0)</f>
        <v>SKID</v>
      </c>
      <c r="G1393" s="3" t="s">
        <v>1613</v>
      </c>
    </row>
    <row r="1394" spans="1:7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tr">
        <f>_xlfn.XLOOKUP(Table3[[#This Row],[Location ]],Table1[Location],Table1[Oracle Location],0,0)</f>
        <v>MONPRE</v>
      </c>
      <c r="F1394" s="3" t="str">
        <f>_xlfn.XLOOKUP(Table3[[#This Row],[Location ]], Table1[Location],Table1[SVG Location],0,0)</f>
        <v>PRE_L1</v>
      </c>
      <c r="G1394" s="3" t="s">
        <v>1617</v>
      </c>
    </row>
    <row r="1395" spans="1:7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tr">
        <f>_xlfn.XLOOKUP(Table3[[#This Row],[Location ]],Table1[Location],Table1[Oracle Location],0,0)</f>
        <v>MTY 1, MTY1</v>
      </c>
      <c r="F1395" s="3" t="str">
        <f>_xlfn.XLOOKUP(Table3[[#This Row],[Location ]], Table1[Location],Table1[SVG Location],0,0)</f>
        <v>Warehouse</v>
      </c>
      <c r="G1395" s="3" t="s">
        <v>1615</v>
      </c>
    </row>
    <row r="1396" spans="1:7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tr">
        <f>_xlfn.XLOOKUP(Table3[[#This Row],[Location ]],Table1[Location],Table1[Oracle Location],0,0)</f>
        <v>MONDP</v>
      </c>
      <c r="F1396" s="3" t="str">
        <f>_xlfn.XLOOKUP(Table3[[#This Row],[Location ]], Table1[Location],Table1[SVG Location],0,0)</f>
        <v>DH_400</v>
      </c>
      <c r="G1396" s="3" t="s">
        <v>1615</v>
      </c>
    </row>
    <row r="1397" spans="1:7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tr">
        <f>_xlfn.XLOOKUP(Table3[[#This Row],[Location ]],Table1[Location],Table1[Oracle Location],0,0)</f>
        <v>MONMC</v>
      </c>
      <c r="F1397" s="3" t="str">
        <f>_xlfn.XLOOKUP(Table3[[#This Row],[Location ]], Table1[Location],Table1[SVG Location],0,0)</f>
        <v>MC</v>
      </c>
      <c r="G1397" s="3" t="s">
        <v>1615</v>
      </c>
    </row>
    <row r="1398" spans="1:7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tr">
        <f>_xlfn.XLOOKUP(Table3[[#This Row],[Location ]],Table1[Location],Table1[Oracle Location],0,0)</f>
        <v>MONPRE</v>
      </c>
      <c r="F1398" s="3" t="str">
        <f>_xlfn.XLOOKUP(Table3[[#This Row],[Location ]], Table1[Location],Table1[SVG Location],0,0)</f>
        <v>PRE_L1</v>
      </c>
      <c r="G1398" s="3" t="s">
        <v>1617</v>
      </c>
    </row>
    <row r="1399" spans="1:7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tr">
        <f>_xlfn.XLOOKUP(Table3[[#This Row],[Location ]],Table1[Location],Table1[Oracle Location],0,0)</f>
        <v>MONEP</v>
      </c>
      <c r="F1399" s="3" t="str">
        <f>_xlfn.XLOOKUP(Table3[[#This Row],[Location ]], Table1[Location],Table1[SVG Location],0,0)</f>
        <v>EP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tr">
        <f>_xlfn.XLOOKUP(Table3[[#This Row],[Location ]],Table1[Location],Table1[Oracle Location],0,0)</f>
        <v>MTY 1, MTY1</v>
      </c>
      <c r="F1400" s="3" t="str">
        <f>_xlfn.XLOOKUP(Table3[[#This Row],[Location ]], Table1[Location],Table1[SVG Location],0,0)</f>
        <v>Warehouse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tr">
        <f>_xlfn.XLOOKUP(Table3[[#This Row],[Location ]],Table1[Location],Table1[Oracle Location],0,0)</f>
        <v>ALL</v>
      </c>
      <c r="F1401" s="3" t="str">
        <f>_xlfn.XLOOKUP(Table3[[#This Row],[Location ]], Table1[Location],Table1[SVG Location],0,0)</f>
        <v>ALL</v>
      </c>
      <c r="G1401" s="3">
        <v>0</v>
      </c>
    </row>
    <row r="1402" spans="1:7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tr">
        <f>_xlfn.XLOOKUP(Table3[[#This Row],[Location ]],Table1[Location],Table1[Oracle Location],0,0)</f>
        <v>MONDA</v>
      </c>
      <c r="F1402" s="3" t="str">
        <f>_xlfn.XLOOKUP(Table3[[#This Row],[Location ]], Table1[Location],Table1[SVG Location],0,0)</f>
        <v>MONDA</v>
      </c>
      <c r="G1402" s="3" t="s">
        <v>1615</v>
      </c>
    </row>
    <row r="1403" spans="1:7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tr">
        <f>_xlfn.XLOOKUP(Table3[[#This Row],[Location ]],Table1[Location],Table1[Oracle Location],0,0)</f>
        <v>MONDP</v>
      </c>
      <c r="F1403" s="3" t="str">
        <f>_xlfn.XLOOKUP(Table3[[#This Row],[Location ]], Table1[Location],Table1[SVG Location],0,0)</f>
        <v>DH_400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f>_xlfn.XLOOKUP(Table3[[#This Row],[Location ]],Table1[Location],Table1[Oracle Location],0,0)</f>
        <v>0</v>
      </c>
      <c r="F1404" s="3">
        <f>_xlfn.XLOOKUP(Table3[[#This Row],[Location ]], Table1[Location],Table1[SVG Location],0,0)</f>
        <v>0</v>
      </c>
      <c r="G1404" s="3" t="s">
        <v>1614</v>
      </c>
    </row>
    <row r="1405" spans="1:7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tr">
        <f>_xlfn.XLOOKUP(Table3[[#This Row],[Location ]],Table1[Location],Table1[Oracle Location],0,0)</f>
        <v>MONDP</v>
      </c>
      <c r="F1405" s="3" t="str">
        <f>_xlfn.XLOOKUP(Table3[[#This Row],[Location ]], Table1[Location],Table1[SVG Location],0,0)</f>
        <v>DH_400</v>
      </c>
      <c r="G1405" s="3" t="s">
        <v>1615</v>
      </c>
    </row>
    <row r="1406" spans="1:7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tr">
        <f>_xlfn.XLOOKUP(Table3[[#This Row],[Location ]],Table1[Location],Table1[Oracle Location],0,0)</f>
        <v>MTY 1, MTY1</v>
      </c>
      <c r="F1406" s="3" t="str">
        <f>_xlfn.XLOOKUP(Table3[[#This Row],[Location ]], Table1[Location],Table1[SVG Location],0,0)</f>
        <v>Warehouse</v>
      </c>
      <c r="G1406" s="3" t="s">
        <v>1615</v>
      </c>
    </row>
    <row r="1407" spans="1:7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tr">
        <f>_xlfn.XLOOKUP(Table3[[#This Row],[Location ]],Table1[Location],Table1[Oracle Location],0,0)</f>
        <v>MONDP</v>
      </c>
      <c r="F1407" s="3" t="str">
        <f>_xlfn.XLOOKUP(Table3[[#This Row],[Location ]], Table1[Location],Table1[SVG Location],0,0)</f>
        <v>DH_400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tr">
        <f>_xlfn.XLOOKUP(Table3[[#This Row],[Location ]],Table1[Location],Table1[Oracle Location],0,0)</f>
        <v>MONMC</v>
      </c>
      <c r="F1408" s="3" t="str">
        <f>_xlfn.XLOOKUP(Table3[[#This Row],[Location ]], Table1[Location],Table1[SVG Location],0,0)</f>
        <v>MC</v>
      </c>
      <c r="G1408" s="3" t="s">
        <v>1616</v>
      </c>
    </row>
    <row r="1409" spans="1:7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tr">
        <f>_xlfn.XLOOKUP(Table3[[#This Row],[Location ]],Table1[Location],Table1[Oracle Location],0,0)</f>
        <v>MONXDM</v>
      </c>
      <c r="F1409" s="3" t="str">
        <f>_xlfn.XLOOKUP(Table3[[#This Row],[Location ]], Table1[Location],Table1[SVG Location],0,0)</f>
        <v>XDM</v>
      </c>
      <c r="G1409" s="3" t="s">
        <v>1615</v>
      </c>
    </row>
    <row r="1410" spans="1:7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tr">
        <f>_xlfn.XLOOKUP(Table3[[#This Row],[Location ]],Table1[Location],Table1[Oracle Location],0,0)</f>
        <v>MONXDU</v>
      </c>
      <c r="F1410" s="3" t="str">
        <f>_xlfn.XLOOKUP(Table3[[#This Row],[Location ]], Table1[Location],Table1[SVG Location],0,0)</f>
        <v>XDU_1350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tr">
        <f>_xlfn.XLOOKUP(Table3[[#This Row],[Location ]],Table1[Location],Table1[Oracle Location],0,0)</f>
        <v>MTY3</v>
      </c>
      <c r="F1411" s="3" t="str">
        <f>_xlfn.XLOOKUP(Table3[[#This Row],[Location ]], Table1[Location],Table1[SVG Location],0,0)</f>
        <v>MTY3</v>
      </c>
      <c r="G1411" s="3" t="s">
        <v>1616</v>
      </c>
    </row>
    <row r="1412" spans="1:7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tr">
        <f>_xlfn.XLOOKUP(Table3[[#This Row],[Location ]],Table1[Location],Table1[Oracle Location],0,0)</f>
        <v>MONXDU</v>
      </c>
      <c r="F1412" s="3" t="str">
        <f>_xlfn.XLOOKUP(Table3[[#This Row],[Location ]], Table1[Location],Table1[SVG Location],0,0)</f>
        <v>XDU_1350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tr">
        <f>_xlfn.XLOOKUP(Table3[[#This Row],[Location ]],Table1[Location],Table1[Oracle Location],0,0)</f>
        <v>ALL</v>
      </c>
      <c r="F1413" s="3" t="str">
        <f>_xlfn.XLOOKUP(Table3[[#This Row],[Location ]], Table1[Location],Table1[SVG Location],0,0)</f>
        <v>ALL</v>
      </c>
      <c r="G1413" s="3">
        <v>0</v>
      </c>
    </row>
    <row r="1414" spans="1:7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tr">
        <f>_xlfn.XLOOKUP(Table3[[#This Row],[Location ]],Table1[Location],Table1[Oracle Location],0,0)</f>
        <v>MONKITS</v>
      </c>
      <c r="F1414" s="3" t="str">
        <f>_xlfn.XLOOKUP(Table3[[#This Row],[Location ]], Table1[Location],Table1[SVG Location],0,0)</f>
        <v>Kits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f>_xlfn.XLOOKUP(Table3[[#This Row],[Location ]],Table1[Location],Table1[Oracle Location],0,0)</f>
        <v>0</v>
      </c>
      <c r="F1415" s="3">
        <f>_xlfn.XLOOKUP(Table3[[#This Row],[Location ]], Table1[Location],Table1[SVG Location],0,0)</f>
        <v>0</v>
      </c>
      <c r="G1415" s="3" t="s">
        <v>1616</v>
      </c>
    </row>
    <row r="1416" spans="1:7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tr">
        <f>_xlfn.XLOOKUP(Table3[[#This Row],[Location ]],Table1[Location],Table1[Oracle Location],0,0)</f>
        <v>MONDP</v>
      </c>
      <c r="F1416" s="3" t="str">
        <f>_xlfn.XLOOKUP(Table3[[#This Row],[Location ]], Table1[Location],Table1[SVG Location],0,0)</f>
        <v>DH_400</v>
      </c>
      <c r="G1416" s="3" t="s">
        <v>1617</v>
      </c>
    </row>
    <row r="1417" spans="1:7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tr">
        <f>_xlfn.XLOOKUP(Table3[[#This Row],[Location ]],Table1[Location],Table1[Oracle Location],0,0)</f>
        <v>MONBLW</v>
      </c>
      <c r="F1417" s="3" t="str">
        <f>_xlfn.XLOOKUP(Table3[[#This Row],[Location ]], Table1[Location],Table1[SVG Location],0,0)</f>
        <v>Blower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tr">
        <f>_xlfn.XLOOKUP(Table3[[#This Row],[Location ]],Table1[Location],Table1[Oracle Location],0,0)</f>
        <v>MTY 1, MTY1</v>
      </c>
      <c r="F1418" s="3" t="str">
        <f>_xlfn.XLOOKUP(Table3[[#This Row],[Location ]], Table1[Location],Table1[SVG Location],0,0)</f>
        <v>Warehouse</v>
      </c>
      <c r="G1418" s="3" t="s">
        <v>1616</v>
      </c>
    </row>
    <row r="1419" spans="1:7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tr">
        <f>_xlfn.XLOOKUP(Table3[[#This Row],[Location ]],Table1[Location],Table1[Oracle Location],0,0)</f>
        <v>MONXDU</v>
      </c>
      <c r="F1419" s="3" t="str">
        <f>_xlfn.XLOOKUP(Table3[[#This Row],[Location ]], Table1[Location],Table1[SVG Location],0,0)</f>
        <v>XDU_1350</v>
      </c>
      <c r="G1419" s="3" t="s">
        <v>1615</v>
      </c>
    </row>
    <row r="1420" spans="1:7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tr">
        <f>_xlfn.XLOOKUP(Table3[[#This Row],[Location ]],Table1[Location],Table1[Oracle Location],0,0)</f>
        <v>MONMC</v>
      </c>
      <c r="F1420" s="3" t="str">
        <f>_xlfn.XLOOKUP(Table3[[#This Row],[Location ]], Table1[Location],Table1[SVG Location],0,0)</f>
        <v>MC</v>
      </c>
      <c r="G1420" s="3" t="s">
        <v>1615</v>
      </c>
    </row>
    <row r="1421" spans="1:7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tr">
        <f>_xlfn.XLOOKUP(Table3[[#This Row],[Location ]],Table1[Location],Table1[Oracle Location],0,0)</f>
        <v>MONCOILS</v>
      </c>
      <c r="F1421" s="3" t="str">
        <f>_xlfn.XLOOKUP(Table3[[#This Row],[Location ]], Table1[Location],Table1[SVG Location],0,0)</f>
        <v>Coils_Shop</v>
      </c>
      <c r="G1421" s="3" t="s">
        <v>1613</v>
      </c>
    </row>
    <row r="1422" spans="1:7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tr">
        <f>_xlfn.XLOOKUP(Table3[[#This Row],[Location ]],Table1[Location],Table1[Oracle Location],0,0)</f>
        <v>MONXDU</v>
      </c>
      <c r="F1422" s="3" t="str">
        <f>_xlfn.XLOOKUP(Table3[[#This Row],[Location ]], Table1[Location],Table1[SVG Location],0,0)</f>
        <v>XDU_1350</v>
      </c>
      <c r="G1422" s="3" t="s">
        <v>1613</v>
      </c>
    </row>
    <row r="1423" spans="1:7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tr">
        <f>_xlfn.XLOOKUP(Table3[[#This Row],[Location ]],Table1[Location],Table1[Oracle Location],0,0)</f>
        <v>MONXDU</v>
      </c>
      <c r="F1423" s="3" t="str">
        <f>_xlfn.XLOOKUP(Table3[[#This Row],[Location ]], Table1[Location],Table1[SVG Location],0,0)</f>
        <v>XDU_1350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tr">
        <f>_xlfn.XLOOKUP(Table3[[#This Row],[Location ]],Table1[Location],Table1[Oracle Location],0,0)</f>
        <v>MONPRE</v>
      </c>
      <c r="F1424" s="3" t="str">
        <f>_xlfn.XLOOKUP(Table3[[#This Row],[Location ]], Table1[Location],Table1[SVG Location],0,0)</f>
        <v>PRE_L1</v>
      </c>
      <c r="G1424" s="3" t="s">
        <v>1614</v>
      </c>
    </row>
    <row r="1425" spans="1:7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tr">
        <f>_xlfn.XLOOKUP(Table3[[#This Row],[Location ]],Table1[Location],Table1[Oracle Location],0,0)</f>
        <v>MONXDU</v>
      </c>
      <c r="F1425" s="3" t="str">
        <f>_xlfn.XLOOKUP(Table3[[#This Row],[Location ]], Table1[Location],Table1[SVG Location],0,0)</f>
        <v>XDU_1350</v>
      </c>
      <c r="G1425" s="3" t="s">
        <v>1615</v>
      </c>
    </row>
    <row r="1426" spans="1:7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tr">
        <f>_xlfn.XLOOKUP(Table3[[#This Row],[Location ]],Table1[Location],Table1[Oracle Location],0,0)</f>
        <v>MONXDU</v>
      </c>
      <c r="F1426" s="3" t="str">
        <f>_xlfn.XLOOKUP(Table3[[#This Row],[Location ]], Table1[Location],Table1[SVG Location],0,0)</f>
        <v>XDU_1350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tr">
        <f>_xlfn.XLOOKUP(Table3[[#This Row],[Location ]],Table1[Location],Table1[Oracle Location],0,0)</f>
        <v>MONDP</v>
      </c>
      <c r="F1427" s="3" t="str">
        <f>_xlfn.XLOOKUP(Table3[[#This Row],[Location ]], Table1[Location],Table1[SVG Location],0,0)</f>
        <v>DH_400</v>
      </c>
      <c r="G1427" s="3" t="s">
        <v>1616</v>
      </c>
    </row>
    <row r="1428" spans="1:7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tr">
        <f>_xlfn.XLOOKUP(Table3[[#This Row],[Location ]],Table1[Location],Table1[Oracle Location],0,0)</f>
        <v>MONXDM</v>
      </c>
      <c r="F1428" s="3" t="str">
        <f>_xlfn.XLOOKUP(Table3[[#This Row],[Location ]], Table1[Location],Table1[SVG Location],0,0)</f>
        <v>XDM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f>_xlfn.XLOOKUP(Table3[[#This Row],[Location ]],Table1[Location],Table1[Oracle Location],0,0)</f>
        <v>0</v>
      </c>
      <c r="F1429" s="3">
        <f>_xlfn.XLOOKUP(Table3[[#This Row],[Location ]], Table1[Location],Table1[SVG Location],0,0)</f>
        <v>0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tr">
        <f>_xlfn.XLOOKUP(Table3[[#This Row],[Location ]],Table1[Location],Table1[Oracle Location],0,0)</f>
        <v>MONDA</v>
      </c>
      <c r="F1430" s="3" t="str">
        <f>_xlfn.XLOOKUP(Table3[[#This Row],[Location ]], Table1[Location],Table1[SVG Location],0,0)</f>
        <v>MONDA</v>
      </c>
      <c r="G1430" s="3" t="s">
        <v>1616</v>
      </c>
    </row>
    <row r="1431" spans="1:7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tr">
        <f>_xlfn.XLOOKUP(Table3[[#This Row],[Location ]],Table1[Location],Table1[Oracle Location],0,0)</f>
        <v>MONXDU</v>
      </c>
      <c r="F1431" s="3" t="str">
        <f>_xlfn.XLOOKUP(Table3[[#This Row],[Location ]], Table1[Location],Table1[SVG Location],0,0)</f>
        <v>XDU_1350</v>
      </c>
      <c r="G1431" s="3" t="s">
        <v>1615</v>
      </c>
    </row>
    <row r="1432" spans="1:7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tr">
        <f>_xlfn.XLOOKUP(Table3[[#This Row],[Location ]],Table1[Location],Table1[Oracle Location],0,0)</f>
        <v>MONDP</v>
      </c>
      <c r="F1432" s="3" t="str">
        <f>_xlfn.XLOOKUP(Table3[[#This Row],[Location ]], Table1[Location],Table1[SVG Location],0,0)</f>
        <v>DH_400</v>
      </c>
      <c r="G1432" s="3" t="s">
        <v>1615</v>
      </c>
    </row>
    <row r="1433" spans="1:7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tr">
        <f>_xlfn.XLOOKUP(Table3[[#This Row],[Location ]],Table1[Location],Table1[Oracle Location],0,0)</f>
        <v>MONDP</v>
      </c>
      <c r="F1433" s="3" t="str">
        <f>_xlfn.XLOOKUP(Table3[[#This Row],[Location ]], Table1[Location],Table1[SVG Location],0,0)</f>
        <v>DH_400</v>
      </c>
      <c r="G1433" s="3" t="s">
        <v>1617</v>
      </c>
    </row>
    <row r="1434" spans="1:7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tr">
        <f>_xlfn.XLOOKUP(Table3[[#This Row],[Location ]],Table1[Location],Table1[Oracle Location],0,0)</f>
        <v>MONCR</v>
      </c>
      <c r="F1434" s="3" t="str">
        <f>_xlfn.XLOOKUP(Table3[[#This Row],[Location ]], Table1[Location],Table1[SVG Location],0,0)</f>
        <v>CR</v>
      </c>
      <c r="G1434" s="3" t="s">
        <v>1617</v>
      </c>
    </row>
    <row r="1435" spans="1:7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tr">
        <f>_xlfn.XLOOKUP(Table3[[#This Row],[Location ]],Table1[Location],Table1[Oracle Location],0,0)</f>
        <v>MONDP</v>
      </c>
      <c r="F1435" s="3" t="str">
        <f>_xlfn.XLOOKUP(Table3[[#This Row],[Location ]], Table1[Location],Table1[SVG Location],0,0)</f>
        <v>DH_400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tr">
        <f>_xlfn.XLOOKUP(Table3[[#This Row],[Location ]],Table1[Location],Table1[Oracle Location],0,0)</f>
        <v>MTY3</v>
      </c>
      <c r="F1436" s="3" t="str">
        <f>_xlfn.XLOOKUP(Table3[[#This Row],[Location ]], Table1[Location],Table1[SVG Location],0,0)</f>
        <v>MTY3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tr">
        <f>_xlfn.XLOOKUP(Table3[[#This Row],[Location ]],Table1[Location],Table1[Oracle Location],0,0)</f>
        <v>MONEP</v>
      </c>
      <c r="F1437" s="3" t="str">
        <f>_xlfn.XLOOKUP(Table3[[#This Row],[Location ]], Table1[Location],Table1[SVG Location],0,0)</f>
        <v>EP</v>
      </c>
      <c r="G1437" s="3" t="s">
        <v>1614</v>
      </c>
    </row>
    <row r="1438" spans="1:7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tr">
        <f>_xlfn.XLOOKUP(Table3[[#This Row],[Location ]],Table1[Location],Table1[Oracle Location],0,0)</f>
        <v>MONCOILS</v>
      </c>
      <c r="F1438" s="3" t="str">
        <f>_xlfn.XLOOKUP(Table3[[#This Row],[Location ]], Table1[Location],Table1[SVG Location],0,0)</f>
        <v>Coils_Shop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tr">
        <f>_xlfn.XLOOKUP(Table3[[#This Row],[Location ]],Table1[Location],Table1[Oracle Location],0,0)</f>
        <v>MTY3</v>
      </c>
      <c r="F1439" s="3" t="str">
        <f>_xlfn.XLOOKUP(Table3[[#This Row],[Location ]], Table1[Location],Table1[SVG Location],0,0)</f>
        <v>MTY3</v>
      </c>
      <c r="G1439" s="3">
        <v>0</v>
      </c>
    </row>
    <row r="1440" spans="1:7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tr">
        <f>_xlfn.XLOOKUP(Table3[[#This Row],[Location ]],Table1[Location],Table1[Oracle Location],0,0)</f>
        <v>MONCOILS</v>
      </c>
      <c r="F1440" s="3" t="str">
        <f>_xlfn.XLOOKUP(Table3[[#This Row],[Location ]], Table1[Location],Table1[SVG Location],0,0)</f>
        <v>Coils_Shop</v>
      </c>
      <c r="G1440" s="3" t="s">
        <v>1613</v>
      </c>
    </row>
    <row r="1441" spans="1:7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tr">
        <f>_xlfn.XLOOKUP(Table3[[#This Row],[Location ]],Table1[Location],Table1[Oracle Location],0,0)</f>
        <v>MONDP</v>
      </c>
      <c r="F1441" s="3" t="str">
        <f>_xlfn.XLOOKUP(Table3[[#This Row],[Location ]], Table1[Location],Table1[SVG Location],0,0)</f>
        <v>DH_400</v>
      </c>
      <c r="G1441" s="3" t="s">
        <v>1615</v>
      </c>
    </row>
    <row r="1442" spans="1:7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tr">
        <f>_xlfn.XLOOKUP(Table3[[#This Row],[Location ]],Table1[Location],Table1[Oracle Location],0,0)</f>
        <v>MONCOILS</v>
      </c>
      <c r="F1442" s="3" t="str">
        <f>_xlfn.XLOOKUP(Table3[[#This Row],[Location ]], Table1[Location],Table1[SVG Location],0,0)</f>
        <v>Coils_Shop</v>
      </c>
      <c r="G1442" s="3" t="s">
        <v>1613</v>
      </c>
    </row>
    <row r="1443" spans="1:7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tr">
        <f>_xlfn.XLOOKUP(Table3[[#This Row],[Location ]],Table1[Location],Table1[Oracle Location],0,0)</f>
        <v>MONXDU100</v>
      </c>
      <c r="F1443" s="3" t="str">
        <f>_xlfn.XLOOKUP(Table3[[#This Row],[Location ]], Table1[Location],Table1[SVG Location],0,0)</f>
        <v>XDU_100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tr">
        <f>_xlfn.XLOOKUP(Table3[[#This Row],[Location ]],Table1[Location],Table1[Oracle Location],0,0)</f>
        <v>MONCOILS</v>
      </c>
      <c r="F1444" s="3" t="str">
        <f>_xlfn.XLOOKUP(Table3[[#This Row],[Location ]], Table1[Location],Table1[SVG Location],0,0)</f>
        <v>Coils_Shop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tr">
        <f>_xlfn.XLOOKUP(Table3[[#This Row],[Location ]],Table1[Location],Table1[Oracle Location],0,0)</f>
        <v>ALL</v>
      </c>
      <c r="F1445" s="3" t="str">
        <f>_xlfn.XLOOKUP(Table3[[#This Row],[Location ]], Table1[Location],Table1[SVG Location],0,0)</f>
        <v>ALL</v>
      </c>
      <c r="G1445" s="3" t="s">
        <v>1616</v>
      </c>
    </row>
    <row r="1446" spans="1:7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tr">
        <f>_xlfn.XLOOKUP(Table3[[#This Row],[Location ]],Table1[Location],Table1[Oracle Location],0,0)</f>
        <v>MONXDU</v>
      </c>
      <c r="F1446" s="3" t="str">
        <f>_xlfn.XLOOKUP(Table3[[#This Row],[Location ]], Table1[Location],Table1[SVG Location],0,0)</f>
        <v>XDU_1350</v>
      </c>
      <c r="G1446" s="3" t="s">
        <v>1615</v>
      </c>
    </row>
    <row r="1447" spans="1:7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tr">
        <f>_xlfn.XLOOKUP(Table3[[#This Row],[Location ]],Table1[Location],Table1[Oracle Location],0,0)</f>
        <v>MONPIPING</v>
      </c>
      <c r="F1447" s="3" t="str">
        <f>_xlfn.XLOOKUP(Table3[[#This Row],[Location ]], Table1[Location],Table1[SVG Location],0,0)</f>
        <v>Piping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tr">
        <f>_xlfn.XLOOKUP(Table3[[#This Row],[Location ]],Table1[Location],Table1[Oracle Location],0,0)</f>
        <v>MONBLW</v>
      </c>
      <c r="F1448" s="3" t="str">
        <f>_xlfn.XLOOKUP(Table3[[#This Row],[Location ]], Table1[Location],Table1[SVG Location],0,0)</f>
        <v>Blower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tr">
        <f>_xlfn.XLOOKUP(Table3[[#This Row],[Location ]],Table1[Location],Table1[Oracle Location],0,0)</f>
        <v>MONCR</v>
      </c>
      <c r="F1449" s="3" t="str">
        <f>_xlfn.XLOOKUP(Table3[[#This Row],[Location ]], Table1[Location],Table1[SVG Location],0,0)</f>
        <v>CR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1629</v>
      </c>
      <c r="D1450" s="3" t="s">
        <v>61</v>
      </c>
      <c r="E1450" s="3">
        <f>_xlfn.XLOOKUP(Table3[[#This Row],[Location ]],Table1[Location],Table1[Oracle Location],0,0)</f>
        <v>0</v>
      </c>
      <c r="F1450" s="3">
        <f>_xlfn.XLOOKUP(Table3[[#This Row],[Location ]], Table1[Location],Table1[SVG Location],0,0)</f>
        <v>0</v>
      </c>
      <c r="G1450" s="3" t="s">
        <v>1614</v>
      </c>
    </row>
    <row r="1451" spans="1:7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tr">
        <f>_xlfn.XLOOKUP(Table3[[#This Row],[Location ]],Table1[Location],Table1[Oracle Location],0,0)</f>
        <v>MONMC</v>
      </c>
      <c r="F1451" s="3" t="str">
        <f>_xlfn.XLOOKUP(Table3[[#This Row],[Location ]], Table1[Location],Table1[SVG Location],0,0)</f>
        <v>MC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tr">
        <f>_xlfn.XLOOKUP(Table3[[#This Row],[Location ]],Table1[Location],Table1[Oracle Location],0,0)</f>
        <v>ALL</v>
      </c>
      <c r="F1452" s="3" t="str">
        <f>_xlfn.XLOOKUP(Table3[[#This Row],[Location ]], Table1[Location],Table1[SVG Location],0,0)</f>
        <v>ALL</v>
      </c>
      <c r="G1452" s="3">
        <v>0</v>
      </c>
    </row>
    <row r="1453" spans="1:7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tr">
        <f>_xlfn.XLOOKUP(Table3[[#This Row],[Location ]],Table1[Location],Table1[Oracle Location],0,0)</f>
        <v>MONDP</v>
      </c>
      <c r="F1453" s="3" t="str">
        <f>_xlfn.XLOOKUP(Table3[[#This Row],[Location ]], Table1[Location],Table1[SVG Location],0,0)</f>
        <v>DH_400</v>
      </c>
      <c r="G1453" s="3" t="s">
        <v>1613</v>
      </c>
    </row>
    <row r="1454" spans="1:7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tr">
        <f>_xlfn.XLOOKUP(Table3[[#This Row],[Location ]],Table1[Location],Table1[Oracle Location],0,0)</f>
        <v>MONXDU</v>
      </c>
      <c r="F1454" s="3" t="str">
        <f>_xlfn.XLOOKUP(Table3[[#This Row],[Location ]], Table1[Location],Table1[SVG Location],0,0)</f>
        <v>XDU_1350</v>
      </c>
      <c r="G1454" s="3" t="s">
        <v>1615</v>
      </c>
    </row>
    <row r="1455" spans="1:7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tr">
        <f>_xlfn.XLOOKUP(Table3[[#This Row],[Location ]],Table1[Location],Table1[Oracle Location],0,0)</f>
        <v>MONDP</v>
      </c>
      <c r="F1455" s="3" t="str">
        <f>_xlfn.XLOOKUP(Table3[[#This Row],[Location ]], Table1[Location],Table1[SVG Location],0,0)</f>
        <v>DH_400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tr">
        <f>_xlfn.XLOOKUP(Table3[[#This Row],[Location ]],Table1[Location],Table1[Oracle Location],0,0)</f>
        <v>MTY3</v>
      </c>
      <c r="F1456" s="3" t="str">
        <f>_xlfn.XLOOKUP(Table3[[#This Row],[Location ]], Table1[Location],Table1[SVG Location],0,0)</f>
        <v>MTY3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tr">
        <f>_xlfn.XLOOKUP(Table3[[#This Row],[Location ]],Table1[Location],Table1[Oracle Location],0,0)</f>
        <v>MONPIPING</v>
      </c>
      <c r="F1457" s="3" t="str">
        <f>_xlfn.XLOOKUP(Table3[[#This Row],[Location ]], Table1[Location],Table1[SVG Location],0,0)</f>
        <v>Piping</v>
      </c>
      <c r="G1457" s="3" t="s">
        <v>1616</v>
      </c>
    </row>
    <row r="1458" spans="1:7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tr">
        <f>_xlfn.XLOOKUP(Table3[[#This Row],[Location ]],Table1[Location],Table1[Oracle Location],0,0)</f>
        <v>MONDP</v>
      </c>
      <c r="F1458" s="3" t="str">
        <f>_xlfn.XLOOKUP(Table3[[#This Row],[Location ]], Table1[Location],Table1[SVG Location],0,0)</f>
        <v>DH_400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tr">
        <f>_xlfn.XLOOKUP(Table3[[#This Row],[Location ]],Table1[Location],Table1[Oracle Location],0,0)</f>
        <v>MTY3</v>
      </c>
      <c r="F1459" s="3" t="str">
        <f>_xlfn.XLOOKUP(Table3[[#This Row],[Location ]], Table1[Location],Table1[SVG Location],0,0)</f>
        <v>MTY3</v>
      </c>
      <c r="G1459" s="3">
        <v>0</v>
      </c>
    </row>
    <row r="1460" spans="1:7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tr">
        <f>_xlfn.XLOOKUP(Table3[[#This Row],[Location ]],Table1[Location],Table1[Oracle Location],0,0)</f>
        <v>MONEP</v>
      </c>
      <c r="F1460" s="3" t="str">
        <f>_xlfn.XLOOKUP(Table3[[#This Row],[Location ]], Table1[Location],Table1[SVG Location],0,0)</f>
        <v>EP</v>
      </c>
      <c r="G1460" s="3" t="s">
        <v>1617</v>
      </c>
    </row>
    <row r="1461" spans="1:7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tr">
        <f>_xlfn.XLOOKUP(Table3[[#This Row],[Location ]],Table1[Location],Table1[Oracle Location],0,0)</f>
        <v>MONXDU100</v>
      </c>
      <c r="F1461" s="3" t="str">
        <f>_xlfn.XLOOKUP(Table3[[#This Row],[Location ]], Table1[Location],Table1[SVG Location],0,0)</f>
        <v>XDU_100</v>
      </c>
      <c r="G1461" s="3" t="s">
        <v>1613</v>
      </c>
    </row>
    <row r="1462" spans="1:7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tr">
        <f>_xlfn.XLOOKUP(Table3[[#This Row],[Location ]],Table1[Location],Table1[Oracle Location],0,0)</f>
        <v>MONDA</v>
      </c>
      <c r="F1462" s="3" t="str">
        <f>_xlfn.XLOOKUP(Table3[[#This Row],[Location ]], Table1[Location],Table1[SVG Location],0,0)</f>
        <v>MONDA</v>
      </c>
      <c r="G1462" s="3" t="s">
        <v>1615</v>
      </c>
    </row>
    <row r="1463" spans="1:7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tr">
        <f>_xlfn.XLOOKUP(Table3[[#This Row],[Location ]],Table1[Location],Table1[Oracle Location],0,0)</f>
        <v>MONDA</v>
      </c>
      <c r="F1463" s="3" t="str">
        <f>_xlfn.XLOOKUP(Table3[[#This Row],[Location ]], Table1[Location],Table1[SVG Location],0,0)</f>
        <v>MONDA</v>
      </c>
      <c r="G1463" s="3" t="s">
        <v>1615</v>
      </c>
    </row>
    <row r="1464" spans="1:7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tr">
        <f>_xlfn.XLOOKUP(Table3[[#This Row],[Location ]],Table1[Location],Table1[Oracle Location],0,0)</f>
        <v>MONXDU100</v>
      </c>
      <c r="F1464" s="3" t="str">
        <f>_xlfn.XLOOKUP(Table3[[#This Row],[Location ]], Table1[Location],Table1[SVG Location],0,0)</f>
        <v>XDU_100</v>
      </c>
      <c r="G1464" s="3" t="s">
        <v>1617</v>
      </c>
    </row>
    <row r="1465" spans="1:7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tr">
        <f>_xlfn.XLOOKUP(Table3[[#This Row],[Location ]],Table1[Location],Table1[Oracle Location],0,0)</f>
        <v>MONDP</v>
      </c>
      <c r="F1465" s="3" t="str">
        <f>_xlfn.XLOOKUP(Table3[[#This Row],[Location ]], Table1[Location],Table1[SVG Location],0,0)</f>
        <v>DH_400</v>
      </c>
      <c r="G1465" s="3" t="s">
        <v>1613</v>
      </c>
    </row>
    <row r="1466" spans="1:7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tr">
        <f>_xlfn.XLOOKUP(Table3[[#This Row],[Location ]],Table1[Location],Table1[Oracle Location],0,0)</f>
        <v>MONDA</v>
      </c>
      <c r="F1466" s="3" t="str">
        <f>_xlfn.XLOOKUP(Table3[[#This Row],[Location ]], Table1[Location],Table1[SVG Location],0,0)</f>
        <v>MONDA</v>
      </c>
      <c r="G1466" s="3" t="s">
        <v>1615</v>
      </c>
    </row>
    <row r="1467" spans="1:7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tr">
        <f>_xlfn.XLOOKUP(Table3[[#This Row],[Location ]],Table1[Location],Table1[Oracle Location],0,0)</f>
        <v>MTY 1, MTY1</v>
      </c>
      <c r="F1467" s="3" t="str">
        <f>_xlfn.XLOOKUP(Table3[[#This Row],[Location ]], Table1[Location],Table1[SVG Location],0,0)</f>
        <v>Warehouse</v>
      </c>
      <c r="G1467" s="3" t="s">
        <v>1615</v>
      </c>
    </row>
    <row r="1468" spans="1:7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tr">
        <f>_xlfn.XLOOKUP(Table3[[#This Row],[Location ]],Table1[Location],Table1[Oracle Location],0,0)</f>
        <v>MONXDU</v>
      </c>
      <c r="F1468" s="3" t="str">
        <f>_xlfn.XLOOKUP(Table3[[#This Row],[Location ]], Table1[Location],Table1[SVG Location],0,0)</f>
        <v>XDU_1350</v>
      </c>
      <c r="G1468" s="3" t="s">
        <v>1613</v>
      </c>
    </row>
    <row r="1469" spans="1:7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tr">
        <f>_xlfn.XLOOKUP(Table3[[#This Row],[Location ]],Table1[Location],Table1[Oracle Location],0,0)</f>
        <v>MONMC</v>
      </c>
      <c r="F1469" s="3" t="str">
        <f>_xlfn.XLOOKUP(Table3[[#This Row],[Location ]], Table1[Location],Table1[SVG Location],0,0)</f>
        <v>MC</v>
      </c>
      <c r="G1469" s="3" t="s">
        <v>1615</v>
      </c>
    </row>
    <row r="1470" spans="1:7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tr">
        <f>_xlfn.XLOOKUP(Table3[[#This Row],[Location ]],Table1[Location],Table1[Oracle Location],0,0)</f>
        <v>MONDP</v>
      </c>
      <c r="F1470" s="3" t="str">
        <f>_xlfn.XLOOKUP(Table3[[#This Row],[Location ]], Table1[Location],Table1[SVG Location],0,0)</f>
        <v>DH_400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tr">
        <f>_xlfn.XLOOKUP(Table3[[#This Row],[Location ]],Table1[Location],Table1[Oracle Location],0,0)</f>
        <v>MTY3</v>
      </c>
      <c r="F1471" s="3" t="str">
        <f>_xlfn.XLOOKUP(Table3[[#This Row],[Location ]], Table1[Location],Table1[SVG Location],0,0)</f>
        <v>MTY3</v>
      </c>
      <c r="G1471" s="3" t="s">
        <v>1616</v>
      </c>
    </row>
    <row r="1472" spans="1:7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tr">
        <f>_xlfn.XLOOKUP(Table3[[#This Row],[Location ]],Table1[Location],Table1[Oracle Location],0,0)</f>
        <v>MONCOILS</v>
      </c>
      <c r="F1472" s="3" t="str">
        <f>_xlfn.XLOOKUP(Table3[[#This Row],[Location ]], Table1[Location],Table1[SVG Location],0,0)</f>
        <v>Coils_Shop</v>
      </c>
      <c r="G1472" s="3" t="s">
        <v>1615</v>
      </c>
    </row>
    <row r="1473" spans="1:7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tr">
        <f>_xlfn.XLOOKUP(Table3[[#This Row],[Location ]],Table1[Location],Table1[Oracle Location],0,0)</f>
        <v>MONXDU100</v>
      </c>
      <c r="F1473" s="3" t="str">
        <f>_xlfn.XLOOKUP(Table3[[#This Row],[Location ]], Table1[Location],Table1[SVG Location],0,0)</f>
        <v>XDU_100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tr">
        <f>_xlfn.XLOOKUP(Table3[[#This Row],[Location ]],Table1[Location],Table1[Oracle Location],0,0)</f>
        <v>MTY 1, MTY1</v>
      </c>
      <c r="F1474" s="3" t="str">
        <f>_xlfn.XLOOKUP(Table3[[#This Row],[Location ]], Table1[Location],Table1[SVG Location],0,0)</f>
        <v>Warehouse</v>
      </c>
      <c r="G1474" s="3" t="s">
        <v>1616</v>
      </c>
    </row>
    <row r="1475" spans="1:7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tr">
        <f>_xlfn.XLOOKUP(Table3[[#This Row],[Location ]],Table1[Location],Table1[Oracle Location],0,0)</f>
        <v>MTY 1, MTY1</v>
      </c>
      <c r="F1475" s="3" t="str">
        <f>_xlfn.XLOOKUP(Table3[[#This Row],[Location ]], Table1[Location],Table1[SVG Location],0,0)</f>
        <v>Warehouse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tr">
        <f>_xlfn.XLOOKUP(Table3[[#This Row],[Location ]],Table1[Location],Table1[Oracle Location],0,0)</f>
        <v>MTY 1, MTY1</v>
      </c>
      <c r="F1476" s="3" t="str">
        <f>_xlfn.XLOOKUP(Table3[[#This Row],[Location ]], Table1[Location],Table1[SVG Location],0,0)</f>
        <v>Warehouse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tr">
        <f>_xlfn.XLOOKUP(Table3[[#This Row],[Location ]],Table1[Location],Table1[Oracle Location],0,0)</f>
        <v>MONMC</v>
      </c>
      <c r="F1477" s="3" t="str">
        <f>_xlfn.XLOOKUP(Table3[[#This Row],[Location ]], Table1[Location],Table1[SVG Location],0,0)</f>
        <v>MC</v>
      </c>
      <c r="G1477" s="3" t="s">
        <v>1616</v>
      </c>
    </row>
    <row r="1478" spans="1:7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tr">
        <f>_xlfn.XLOOKUP(Table3[[#This Row],[Location ]],Table1[Location],Table1[Oracle Location],0,0)</f>
        <v>MONDP</v>
      </c>
      <c r="F1478" s="3" t="str">
        <f>_xlfn.XLOOKUP(Table3[[#This Row],[Location ]], Table1[Location],Table1[SVG Location],0,0)</f>
        <v>DH_400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tr">
        <f>_xlfn.XLOOKUP(Table3[[#This Row],[Location ]],Table1[Location],Table1[Oracle Location],0,0)</f>
        <v>MON-AFC</v>
      </c>
      <c r="F1479" s="3" t="str">
        <f>_xlfn.XLOOKUP(Table3[[#This Row],[Location ]], Table1[Location],Table1[SVG Location],0,0)</f>
        <v>AFC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tr">
        <f>_xlfn.XLOOKUP(Table3[[#This Row],[Location ]],Table1[Location],Table1[Oracle Location],0,0)</f>
        <v>ALL</v>
      </c>
      <c r="F1480" s="3" t="str">
        <f>_xlfn.XLOOKUP(Table3[[#This Row],[Location ]], Table1[Location],Table1[SVG Location],0,0)</f>
        <v>ALL</v>
      </c>
      <c r="G1480" s="3">
        <v>0</v>
      </c>
    </row>
    <row r="1481" spans="1:7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tr">
        <f>_xlfn.XLOOKUP(Table3[[#This Row],[Location ]],Table1[Location],Table1[Oracle Location],0,0)</f>
        <v>SHIP</v>
      </c>
      <c r="F1481" s="3" t="str">
        <f>_xlfn.XLOOKUP(Table3[[#This Row],[Location ]], Table1[Location],Table1[SVG Location],0,0)</f>
        <v>SHIP</v>
      </c>
      <c r="G1481" s="3" t="s">
        <v>1615</v>
      </c>
    </row>
    <row r="1482" spans="1:7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tr">
        <f>_xlfn.XLOOKUP(Table3[[#This Row],[Location ]],Table1[Location],Table1[Oracle Location],0,0)</f>
        <v>MONEP</v>
      </c>
      <c r="F1482" s="3" t="str">
        <f>_xlfn.XLOOKUP(Table3[[#This Row],[Location ]], Table1[Location],Table1[SVG Location],0,0)</f>
        <v>EP</v>
      </c>
      <c r="G1482" s="3" t="s">
        <v>1617</v>
      </c>
    </row>
    <row r="1483" spans="1:7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tr">
        <f>_xlfn.XLOOKUP(Table3[[#This Row],[Location ]],Table1[Location],Table1[Oracle Location],0,0)</f>
        <v>MONSKID</v>
      </c>
      <c r="F1483" s="3" t="str">
        <f>_xlfn.XLOOKUP(Table3[[#This Row],[Location ]], Table1[Location],Table1[SVG Location],0,0)</f>
        <v>SKID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tr">
        <f>_xlfn.XLOOKUP(Table3[[#This Row],[Location ]],Table1[Location],Table1[Oracle Location],0,0)</f>
        <v>MTY3</v>
      </c>
      <c r="F1484" s="3" t="str">
        <f>_xlfn.XLOOKUP(Table3[[#This Row],[Location ]], Table1[Location],Table1[SVG Location],0,0)</f>
        <v>MTY3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tr">
        <f>_xlfn.XLOOKUP(Table3[[#This Row],[Location ]],Table1[Location],Table1[Oracle Location],0,0)</f>
        <v>MONPRE</v>
      </c>
      <c r="F1485" s="3" t="str">
        <f>_xlfn.XLOOKUP(Table3[[#This Row],[Location ]], Table1[Location],Table1[SVG Location],0,0)</f>
        <v>PRE_L1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tr">
        <f>_xlfn.XLOOKUP(Table3[[#This Row],[Location ]],Table1[Location],Table1[Oracle Location],0,0)</f>
        <v>MONXDU</v>
      </c>
      <c r="F1486" s="3" t="str">
        <f>_xlfn.XLOOKUP(Table3[[#This Row],[Location ]], Table1[Location],Table1[SVG Location],0,0)</f>
        <v>XDU_1350</v>
      </c>
      <c r="G1486" s="3" t="s">
        <v>1616</v>
      </c>
    </row>
    <row r="1487" spans="1:7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tr">
        <f>_xlfn.XLOOKUP(Table3[[#This Row],[Location ]],Table1[Location],Table1[Oracle Location],0,0)</f>
        <v>MONDP</v>
      </c>
      <c r="F1487" s="3" t="str">
        <f>_xlfn.XLOOKUP(Table3[[#This Row],[Location ]], Table1[Location],Table1[SVG Location],0,0)</f>
        <v>DH_400</v>
      </c>
      <c r="G1487" s="3" t="s">
        <v>1615</v>
      </c>
    </row>
    <row r="1488" spans="1:7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tr">
        <f>_xlfn.XLOOKUP(Table3[[#This Row],[Location ]],Table1[Location],Table1[Oracle Location],0,0)</f>
        <v>MONDP</v>
      </c>
      <c r="F1488" s="3" t="str">
        <f>_xlfn.XLOOKUP(Table3[[#This Row],[Location ]], Table1[Location],Table1[SVG Location],0,0)</f>
        <v>DH_400</v>
      </c>
      <c r="G1488" s="3" t="s">
        <v>1617</v>
      </c>
    </row>
    <row r="1489" spans="1:7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tr">
        <f>_xlfn.XLOOKUP(Table3[[#This Row],[Location ]],Table1[Location],Table1[Oracle Location],0,0)</f>
        <v>MONXDU100</v>
      </c>
      <c r="F1489" s="3" t="str">
        <f>_xlfn.XLOOKUP(Table3[[#This Row],[Location ]], Table1[Location],Table1[SVG Location],0,0)</f>
        <v>XDU_100</v>
      </c>
      <c r="G1489" s="3" t="s">
        <v>1615</v>
      </c>
    </row>
    <row r="1490" spans="1:7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tr">
        <f>_xlfn.XLOOKUP(Table3[[#This Row],[Location ]],Table1[Location],Table1[Oracle Location],0,0)</f>
        <v>MONXDU</v>
      </c>
      <c r="F1490" s="3" t="str">
        <f>_xlfn.XLOOKUP(Table3[[#This Row],[Location ]], Table1[Location],Table1[SVG Location],0,0)</f>
        <v>XDU_1350</v>
      </c>
      <c r="G1490" s="3" t="s">
        <v>1615</v>
      </c>
    </row>
    <row r="1491" spans="1:7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tr">
        <f>_xlfn.XLOOKUP(Table3[[#This Row],[Location ]],Table1[Location],Table1[Oracle Location],0,0)</f>
        <v>MONXDU</v>
      </c>
      <c r="F1491" s="3" t="str">
        <f>_xlfn.XLOOKUP(Table3[[#This Row],[Location ]], Table1[Location],Table1[SVG Location],0,0)</f>
        <v>XDU_1350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tr">
        <f>_xlfn.XLOOKUP(Table3[[#This Row],[Location ]],Table1[Location],Table1[Oracle Location],0,0)</f>
        <v>MONXDU100</v>
      </c>
      <c r="F1492" s="3" t="str">
        <f>_xlfn.XLOOKUP(Table3[[#This Row],[Location ]], Table1[Location],Table1[SVG Location],0,0)</f>
        <v>XDU_100</v>
      </c>
      <c r="G1492" s="3" t="s">
        <v>1616</v>
      </c>
    </row>
    <row r="1493" spans="1:7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tr">
        <f>_xlfn.XLOOKUP(Table3[[#This Row],[Location ]],Table1[Location],Table1[Oracle Location],0,0)</f>
        <v>MONDP</v>
      </c>
      <c r="F1493" s="3" t="str">
        <f>_xlfn.XLOOKUP(Table3[[#This Row],[Location ]], Table1[Location],Table1[SVG Location],0,0)</f>
        <v>DH_400</v>
      </c>
      <c r="G1493" s="3" t="s">
        <v>1615</v>
      </c>
    </row>
    <row r="1494" spans="1:7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tr">
        <f>_xlfn.XLOOKUP(Table3[[#This Row],[Location ]],Table1[Location],Table1[Oracle Location],0,0)</f>
        <v>SHIP</v>
      </c>
      <c r="F1494" s="3" t="str">
        <f>_xlfn.XLOOKUP(Table3[[#This Row],[Location ]], Table1[Location],Table1[SVG Location],0,0)</f>
        <v>SHIP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tr">
        <f>_xlfn.XLOOKUP(Table3[[#This Row],[Location ]],Table1[Location],Table1[Oracle Location],0,0)</f>
        <v>MONMC</v>
      </c>
      <c r="F1495" s="3" t="str">
        <f>_xlfn.XLOOKUP(Table3[[#This Row],[Location ]], Table1[Location],Table1[SVG Location],0,0)</f>
        <v>MC</v>
      </c>
      <c r="G1495" s="3" t="s">
        <v>1616</v>
      </c>
    </row>
    <row r="1496" spans="1:7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tr">
        <f>_xlfn.XLOOKUP(Table3[[#This Row],[Location ]],Table1[Location],Table1[Oracle Location],0,0)</f>
        <v>MONBLW</v>
      </c>
      <c r="F1496" s="3" t="str">
        <f>_xlfn.XLOOKUP(Table3[[#This Row],[Location ]], Table1[Location],Table1[SVG Location],0,0)</f>
        <v>Blower</v>
      </c>
      <c r="G1496" s="3" t="s">
        <v>1613</v>
      </c>
    </row>
    <row r="1497" spans="1:7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tr">
        <f>_xlfn.XLOOKUP(Table3[[#This Row],[Location ]],Table1[Location],Table1[Oracle Location],0,0)</f>
        <v>MONDA</v>
      </c>
      <c r="F1497" s="3" t="str">
        <f>_xlfn.XLOOKUP(Table3[[#This Row],[Location ]], Table1[Location],Table1[SVG Location],0,0)</f>
        <v>MONDA</v>
      </c>
      <c r="G1497" s="3" t="s">
        <v>1615</v>
      </c>
    </row>
    <row r="1498" spans="1:7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tr">
        <f>_xlfn.XLOOKUP(Table3[[#This Row],[Location ]],Table1[Location],Table1[Oracle Location],0,0)</f>
        <v>MONPRE</v>
      </c>
      <c r="F1498" s="3" t="str">
        <f>_xlfn.XLOOKUP(Table3[[#This Row],[Location ]], Table1[Location],Table1[SVG Location],0,0)</f>
        <v>PRE_L1</v>
      </c>
      <c r="G1498" s="3" t="s">
        <v>1617</v>
      </c>
    </row>
    <row r="1499" spans="1:7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tr">
        <f>_xlfn.XLOOKUP(Table3[[#This Row],[Location ]],Table1[Location],Table1[Oracle Location],0,0)</f>
        <v>MONDP</v>
      </c>
      <c r="F1499" s="3" t="str">
        <f>_xlfn.XLOOKUP(Table3[[#This Row],[Location ]], Table1[Location],Table1[SVG Location],0,0)</f>
        <v>DH_400</v>
      </c>
      <c r="G1499" s="3" t="s">
        <v>1615</v>
      </c>
    </row>
    <row r="1500" spans="1:7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tr">
        <f>_xlfn.XLOOKUP(Table3[[#This Row],[Location ]],Table1[Location],Table1[Oracle Location],0,0)</f>
        <v>MONMC</v>
      </c>
      <c r="F1500" s="3" t="str">
        <f>_xlfn.XLOOKUP(Table3[[#This Row],[Location ]], Table1[Location],Table1[SVG Location],0,0)</f>
        <v>MC</v>
      </c>
      <c r="G1500" s="3" t="s">
        <v>1615</v>
      </c>
    </row>
    <row r="1501" spans="1:7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tr">
        <f>_xlfn.XLOOKUP(Table3[[#This Row],[Location ]],Table1[Location],Table1[Oracle Location],0,0)</f>
        <v>MONEP</v>
      </c>
      <c r="F1501" s="3" t="str">
        <f>_xlfn.XLOOKUP(Table3[[#This Row],[Location ]], Table1[Location],Table1[SVG Location],0,0)</f>
        <v>EP</v>
      </c>
      <c r="G1501" s="3" t="s">
        <v>1615</v>
      </c>
    </row>
    <row r="1502" spans="1:7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tr">
        <f>_xlfn.XLOOKUP(Table3[[#This Row],[Location ]],Table1[Location],Table1[Oracle Location],0,0)</f>
        <v>MONEP</v>
      </c>
      <c r="F1502" s="3" t="str">
        <f>_xlfn.XLOOKUP(Table3[[#This Row],[Location ]], Table1[Location],Table1[SVG Location],0,0)</f>
        <v>EP</v>
      </c>
      <c r="G1502" s="3" t="s">
        <v>1617</v>
      </c>
    </row>
    <row r="1503" spans="1:7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tr">
        <f>_xlfn.XLOOKUP(Table3[[#This Row],[Location ]],Table1[Location],Table1[Oracle Location],0,0)</f>
        <v>MONSKID</v>
      </c>
      <c r="F1503" s="3" t="str">
        <f>_xlfn.XLOOKUP(Table3[[#This Row],[Location ]], Table1[Location],Table1[SVG Location],0,0)</f>
        <v>SKID</v>
      </c>
      <c r="G1503" s="3" t="s">
        <v>1613</v>
      </c>
    </row>
    <row r="1504" spans="1:7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tr">
        <f>_xlfn.XLOOKUP(Table3[[#This Row],[Location ]],Table1[Location],Table1[Oracle Location],0,0)</f>
        <v>MONPIPING</v>
      </c>
      <c r="F1504" s="3" t="str">
        <f>_xlfn.XLOOKUP(Table3[[#This Row],[Location ]], Table1[Location],Table1[SVG Location],0,0)</f>
        <v>Piping</v>
      </c>
      <c r="G1504" s="3" t="s">
        <v>1615</v>
      </c>
    </row>
    <row r="1505" spans="1:7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tr">
        <f>_xlfn.XLOOKUP(Table3[[#This Row],[Location ]],Table1[Location],Table1[Oracle Location],0,0)</f>
        <v>MONXDU100</v>
      </c>
      <c r="F1505" s="3" t="str">
        <f>_xlfn.XLOOKUP(Table3[[#This Row],[Location ]], Table1[Location],Table1[SVG Location],0,0)</f>
        <v>XDU_100</v>
      </c>
      <c r="G1505" s="3" t="s">
        <v>1617</v>
      </c>
    </row>
    <row r="1506" spans="1:7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tr">
        <f>_xlfn.XLOOKUP(Table3[[#This Row],[Location ]],Table1[Location],Table1[Oracle Location],0,0)</f>
        <v>MONEP</v>
      </c>
      <c r="F1506" s="3" t="str">
        <f>_xlfn.XLOOKUP(Table3[[#This Row],[Location ]], Table1[Location],Table1[SVG Location],0,0)</f>
        <v>EP</v>
      </c>
      <c r="G1506" s="3" t="s">
        <v>1617</v>
      </c>
    </row>
    <row r="1507" spans="1:7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tr">
        <f>_xlfn.XLOOKUP(Table3[[#This Row],[Location ]],Table1[Location],Table1[Oracle Location],0,0)</f>
        <v>MONSKID</v>
      </c>
      <c r="F1507" s="3" t="str">
        <f>_xlfn.XLOOKUP(Table3[[#This Row],[Location ]], Table1[Location],Table1[SVG Location],0,0)</f>
        <v>SKID</v>
      </c>
      <c r="G1507" s="3" t="s">
        <v>1613</v>
      </c>
    </row>
    <row r="1508" spans="1:7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tr">
        <f>_xlfn.XLOOKUP(Table3[[#This Row],[Location ]],Table1[Location],Table1[Oracle Location],0,0)</f>
        <v>MONEP</v>
      </c>
      <c r="F1508" s="3" t="str">
        <f>_xlfn.XLOOKUP(Table3[[#This Row],[Location ]], Table1[Location],Table1[SVG Location],0,0)</f>
        <v>EP</v>
      </c>
      <c r="G1508" s="3" t="s">
        <v>1617</v>
      </c>
    </row>
    <row r="1509" spans="1:7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tr">
        <f>_xlfn.XLOOKUP(Table3[[#This Row],[Location ]],Table1[Location],Table1[Oracle Location],0,0)</f>
        <v>MONXDU100</v>
      </c>
      <c r="F1509" s="3" t="str">
        <f>_xlfn.XLOOKUP(Table3[[#This Row],[Location ]], Table1[Location],Table1[SVG Location],0,0)</f>
        <v>XDU_100</v>
      </c>
      <c r="G1509" s="3" t="s">
        <v>1617</v>
      </c>
    </row>
    <row r="1510" spans="1:7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tr">
        <f>_xlfn.XLOOKUP(Table3[[#This Row],[Location ]],Table1[Location],Table1[Oracle Location],0,0)</f>
        <v>MONXDU</v>
      </c>
      <c r="F1510" s="3" t="str">
        <f>_xlfn.XLOOKUP(Table3[[#This Row],[Location ]], Table1[Location],Table1[SVG Location],0,0)</f>
        <v>XDU_1350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tr">
        <f>_xlfn.XLOOKUP(Table3[[#This Row],[Location ]],Table1[Location],Table1[Oracle Location],0,0)</f>
        <v>MTY3</v>
      </c>
      <c r="F1511" s="3" t="str">
        <f>_xlfn.XLOOKUP(Table3[[#This Row],[Location ]], Table1[Location],Table1[SVG Location],0,0)</f>
        <v>MTY3</v>
      </c>
      <c r="G1511" s="3" t="s">
        <v>1616</v>
      </c>
    </row>
    <row r="1512" spans="1:7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tr">
        <f>_xlfn.XLOOKUP(Table3[[#This Row],[Location ]],Table1[Location],Table1[Oracle Location],0,0)</f>
        <v>MONDP</v>
      </c>
      <c r="F1512" s="3" t="str">
        <f>_xlfn.XLOOKUP(Table3[[#This Row],[Location ]], Table1[Location],Table1[SVG Location],0,0)</f>
        <v>DH_400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tr">
        <f>_xlfn.XLOOKUP(Table3[[#This Row],[Location ]],Table1[Location],Table1[Oracle Location],0,0)</f>
        <v>MONXDM</v>
      </c>
      <c r="F1513" s="3" t="str">
        <f>_xlfn.XLOOKUP(Table3[[#This Row],[Location ]], Table1[Location],Table1[SVG Location],0,0)</f>
        <v>XDM</v>
      </c>
      <c r="G1513" s="3" t="s">
        <v>1616</v>
      </c>
    </row>
    <row r="1514" spans="1:7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tr">
        <f>_xlfn.XLOOKUP(Table3[[#This Row],[Location ]],Table1[Location],Table1[Oracle Location],0,0)</f>
        <v>MONCR</v>
      </c>
      <c r="F1514" s="3" t="str">
        <f>_xlfn.XLOOKUP(Table3[[#This Row],[Location ]], Table1[Location],Table1[SVG Location],0,0)</f>
        <v>CR</v>
      </c>
      <c r="G1514" s="3" t="s">
        <v>1617</v>
      </c>
    </row>
    <row r="1515" spans="1:7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tr">
        <f>_xlfn.XLOOKUP(Table3[[#This Row],[Location ]],Table1[Location],Table1[Oracle Location],0,0)</f>
        <v>MONXDU100</v>
      </c>
      <c r="F1515" s="3" t="str">
        <f>_xlfn.XLOOKUP(Table3[[#This Row],[Location ]], Table1[Location],Table1[SVG Location],0,0)</f>
        <v>XDU_100</v>
      </c>
      <c r="G1515" s="3" t="s">
        <v>1617</v>
      </c>
    </row>
    <row r="1516" spans="1:7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tr">
        <f>_xlfn.XLOOKUP(Table3[[#This Row],[Location ]],Table1[Location],Table1[Oracle Location],0,0)</f>
        <v>MONXDU100</v>
      </c>
      <c r="F1516" s="3" t="str">
        <f>_xlfn.XLOOKUP(Table3[[#This Row],[Location ]], Table1[Location],Table1[SVG Location],0,0)</f>
        <v>XDU_100</v>
      </c>
      <c r="G1516" s="3" t="s">
        <v>1613</v>
      </c>
    </row>
    <row r="1517" spans="1:7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tr">
        <f>_xlfn.XLOOKUP(Table3[[#This Row],[Location ]],Table1[Location],Table1[Oracle Location],0,0)</f>
        <v>MONCR</v>
      </c>
      <c r="F1517" s="3" t="str">
        <f>_xlfn.XLOOKUP(Table3[[#This Row],[Location ]], Table1[Location],Table1[SVG Location],0,0)</f>
        <v>CR</v>
      </c>
      <c r="G1517" s="3" t="s">
        <v>1615</v>
      </c>
    </row>
    <row r="1518" spans="1:7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tr">
        <f>_xlfn.XLOOKUP(Table3[[#This Row],[Location ]],Table1[Location],Table1[Oracle Location],0,0)</f>
        <v>MONBLW</v>
      </c>
      <c r="F1518" s="3" t="str">
        <f>_xlfn.XLOOKUP(Table3[[#This Row],[Location ]], Table1[Location],Table1[SVG Location],0,0)</f>
        <v>Blower</v>
      </c>
      <c r="G1518" s="3" t="s">
        <v>1613</v>
      </c>
    </row>
    <row r="1519" spans="1:7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tr">
        <f>_xlfn.XLOOKUP(Table3[[#This Row],[Location ]],Table1[Location],Table1[Oracle Location],0,0)</f>
        <v>MONMC</v>
      </c>
      <c r="F1519" s="3" t="str">
        <f>_xlfn.XLOOKUP(Table3[[#This Row],[Location ]], Table1[Location],Table1[SVG Location],0,0)</f>
        <v>MC</v>
      </c>
      <c r="G1519" s="3" t="s">
        <v>1615</v>
      </c>
    </row>
    <row r="1520" spans="1:7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tr">
        <f>_xlfn.XLOOKUP(Table3[[#This Row],[Location ]],Table1[Location],Table1[Oracle Location],0,0)</f>
        <v>MONDP</v>
      </c>
      <c r="F1520" s="3" t="str">
        <f>_xlfn.XLOOKUP(Table3[[#This Row],[Location ]], Table1[Location],Table1[SVG Location],0,0)</f>
        <v>DH_400</v>
      </c>
      <c r="G1520" s="3" t="s">
        <v>1613</v>
      </c>
    </row>
    <row r="1521" spans="1:7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tr">
        <f>_xlfn.XLOOKUP(Table3[[#This Row],[Location ]],Table1[Location],Table1[Oracle Location],0,0)</f>
        <v>MONDP</v>
      </c>
      <c r="F1521" s="3" t="str">
        <f>_xlfn.XLOOKUP(Table3[[#This Row],[Location ]], Table1[Location],Table1[SVG Location],0,0)</f>
        <v>DH_400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tr">
        <f>_xlfn.XLOOKUP(Table3[[#This Row],[Location ]],Table1[Location],Table1[Oracle Location],0,0)</f>
        <v>ALL</v>
      </c>
      <c r="F1522" s="3" t="str">
        <f>_xlfn.XLOOKUP(Table3[[#This Row],[Location ]], Table1[Location],Table1[SVG Location],0,0)</f>
        <v>ALL</v>
      </c>
      <c r="G1522" s="3">
        <v>0</v>
      </c>
    </row>
    <row r="1523" spans="1:7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tr">
        <f>_xlfn.XLOOKUP(Table3[[#This Row],[Location ]],Table1[Location],Table1[Oracle Location],0,0)</f>
        <v>MONDP</v>
      </c>
      <c r="F1523" s="3" t="str">
        <f>_xlfn.XLOOKUP(Table3[[#This Row],[Location ]], Table1[Location],Table1[SVG Location],0,0)</f>
        <v>DH_400</v>
      </c>
      <c r="G1523" s="3" t="s">
        <v>1615</v>
      </c>
    </row>
    <row r="1524" spans="1:7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tr">
        <f>_xlfn.XLOOKUP(Table3[[#This Row],[Location ]],Table1[Location],Table1[Oracle Location],0,0)</f>
        <v>SHIP</v>
      </c>
      <c r="F1524" s="3" t="str">
        <f>_xlfn.XLOOKUP(Table3[[#This Row],[Location ]], Table1[Location],Table1[SVG Location],0,0)</f>
        <v>SHIP</v>
      </c>
      <c r="G1524" s="3" t="s">
        <v>1615</v>
      </c>
    </row>
    <row r="1525" spans="1:7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tr">
        <f>_xlfn.XLOOKUP(Table3[[#This Row],[Location ]],Table1[Location],Table1[Oracle Location],0,0)</f>
        <v>MONMC</v>
      </c>
      <c r="F1525" s="3" t="str">
        <f>_xlfn.XLOOKUP(Table3[[#This Row],[Location ]], Table1[Location],Table1[SVG Location],0,0)</f>
        <v>MC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tr">
        <f>_xlfn.XLOOKUP(Table3[[#This Row],[Location ]],Table1[Location],Table1[Oracle Location],0,0)</f>
        <v>ALL</v>
      </c>
      <c r="F1526" s="3" t="str">
        <f>_xlfn.XLOOKUP(Table3[[#This Row],[Location ]], Table1[Location],Table1[SVG Location],0,0)</f>
        <v>ALL</v>
      </c>
      <c r="G1526" s="3">
        <v>0</v>
      </c>
    </row>
    <row r="1527" spans="1:7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tr">
        <f>_xlfn.XLOOKUP(Table3[[#This Row],[Location ]],Table1[Location],Table1[Oracle Location],0,0)</f>
        <v>MONEP</v>
      </c>
      <c r="F1527" s="3" t="str">
        <f>_xlfn.XLOOKUP(Table3[[#This Row],[Location ]], Table1[Location],Table1[SVG Location],0,0)</f>
        <v>EP</v>
      </c>
      <c r="G1527" s="3" t="s">
        <v>1617</v>
      </c>
    </row>
    <row r="1528" spans="1:7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tr">
        <f>_xlfn.XLOOKUP(Table3[[#This Row],[Location ]],Table1[Location],Table1[Oracle Location],0,0)</f>
        <v>MONXDU</v>
      </c>
      <c r="F1528" s="3" t="str">
        <f>_xlfn.XLOOKUP(Table3[[#This Row],[Location ]], Table1[Location],Table1[SVG Location],0,0)</f>
        <v>XDU_1350</v>
      </c>
      <c r="G1528" s="3" t="s">
        <v>1615</v>
      </c>
    </row>
    <row r="1529" spans="1:7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tr">
        <f>_xlfn.XLOOKUP(Table3[[#This Row],[Location ]],Table1[Location],Table1[Oracle Location],0,0)</f>
        <v>MONCOILS</v>
      </c>
      <c r="F1529" s="3" t="str">
        <f>_xlfn.XLOOKUP(Table3[[#This Row],[Location ]], Table1[Location],Table1[SVG Location],0,0)</f>
        <v>Coils_Shop</v>
      </c>
      <c r="G1529" s="3" t="s">
        <v>1615</v>
      </c>
    </row>
    <row r="1530" spans="1:7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tr">
        <f>_xlfn.XLOOKUP(Table3[[#This Row],[Location ]],Table1[Location],Table1[Oracle Location],0,0)</f>
        <v>MONDP</v>
      </c>
      <c r="F1530" s="3" t="str">
        <f>_xlfn.XLOOKUP(Table3[[#This Row],[Location ]], Table1[Location],Table1[SVG Location],0,0)</f>
        <v>DH_400</v>
      </c>
      <c r="G1530" s="3" t="s">
        <v>1615</v>
      </c>
    </row>
    <row r="1531" spans="1:7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tr">
        <f>_xlfn.XLOOKUP(Table3[[#This Row],[Location ]],Table1[Location],Table1[Oracle Location],0,0)</f>
        <v>MONBLW</v>
      </c>
      <c r="F1531" s="3" t="str">
        <f>_xlfn.XLOOKUP(Table3[[#This Row],[Location ]], Table1[Location],Table1[SVG Location],0,0)</f>
        <v>Blower</v>
      </c>
      <c r="G1531" s="3" t="s">
        <v>1613</v>
      </c>
    </row>
    <row r="1532" spans="1:7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tr">
        <f>_xlfn.XLOOKUP(Table3[[#This Row],[Location ]],Table1[Location],Table1[Oracle Location],0,0)</f>
        <v>SHIP</v>
      </c>
      <c r="F1532" s="3" t="str">
        <f>_xlfn.XLOOKUP(Table3[[#This Row],[Location ]], Table1[Location],Table1[SVG Location],0,0)</f>
        <v>SHIP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tr">
        <f>_xlfn.XLOOKUP(Table3[[#This Row],[Location ]],Table1[Location],Table1[Oracle Location],0,0)</f>
        <v>MTY 1, MTY1</v>
      </c>
      <c r="F1533" s="3" t="str">
        <f>_xlfn.XLOOKUP(Table3[[#This Row],[Location ]], Table1[Location],Table1[SVG Location],0,0)</f>
        <v>Warehouse</v>
      </c>
      <c r="G1533" s="3" t="s">
        <v>1616</v>
      </c>
    </row>
    <row r="1534" spans="1:7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tr">
        <f>_xlfn.XLOOKUP(Table3[[#This Row],[Location ]],Table1[Location],Table1[Oracle Location],0,0)</f>
        <v>MTY 1, MTY1</v>
      </c>
      <c r="F1534" s="3" t="str">
        <f>_xlfn.XLOOKUP(Table3[[#This Row],[Location ]], Table1[Location],Table1[SVG Location],0,0)</f>
        <v>Warehouse</v>
      </c>
      <c r="G1534" s="3" t="s">
        <v>1615</v>
      </c>
    </row>
    <row r="1535" spans="1:7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tr">
        <f>_xlfn.XLOOKUP(Table3[[#This Row],[Location ]],Table1[Location],Table1[Oracle Location],0,0)</f>
        <v>MTY 1, MTY1</v>
      </c>
      <c r="F1535" s="3" t="str">
        <f>_xlfn.XLOOKUP(Table3[[#This Row],[Location ]], Table1[Location],Table1[SVG Location],0,0)</f>
        <v>Warehouse</v>
      </c>
      <c r="G1535" s="3" t="s">
        <v>1615</v>
      </c>
    </row>
    <row r="1536" spans="1:7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tr">
        <f>_xlfn.XLOOKUP(Table3[[#This Row],[Location ]],Table1[Location],Table1[Oracle Location],0,0)</f>
        <v>MTY 1, MTY1</v>
      </c>
      <c r="F1536" s="3" t="str">
        <f>_xlfn.XLOOKUP(Table3[[#This Row],[Location ]], Table1[Location],Table1[SVG Location],0,0)</f>
        <v>Warehouse</v>
      </c>
      <c r="G1536" s="3" t="s">
        <v>1615</v>
      </c>
    </row>
    <row r="1537" spans="1:7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tr">
        <f>_xlfn.XLOOKUP(Table3[[#This Row],[Location ]],Table1[Location],Table1[Oracle Location],0,0)</f>
        <v>MTY 1, MTY1</v>
      </c>
      <c r="F1537" s="3" t="str">
        <f>_xlfn.XLOOKUP(Table3[[#This Row],[Location ]], Table1[Location],Table1[SVG Location],0,0)</f>
        <v>Warehouse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tr">
        <f>_xlfn.XLOOKUP(Table3[[#This Row],[Location ]],Table1[Location],Table1[Oracle Location],0,0)</f>
        <v>MONSKID</v>
      </c>
      <c r="F1538" s="3" t="str">
        <f>_xlfn.XLOOKUP(Table3[[#This Row],[Location ]], Table1[Location],Table1[SVG Location],0,0)</f>
        <v>SKID</v>
      </c>
      <c r="G1538" s="3" t="s">
        <v>1614</v>
      </c>
    </row>
  </sheetData>
  <phoneticPr fontId="6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2025-12-08T14:56:25Z</dcterms:modified>
</cp:coreProperties>
</file>